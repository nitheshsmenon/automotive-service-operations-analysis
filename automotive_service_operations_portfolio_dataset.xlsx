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264" activeTab="4"/>
  </bookViews>
  <sheets>
    <sheet name="Sheet1" sheetId="4" r:id="rId1"/>
    <sheet name="Sheet2" sheetId="5" r:id="rId2"/>
    <sheet name="Sheet3" sheetId="6" r:id="rId3"/>
    <sheet name="Sheet4" sheetId="7" r:id="rId4"/>
    <sheet name="Sheet5" sheetId="8" r:id="rId5"/>
    <sheet name="Raw Data" sheetId="1" r:id="rId6"/>
    <sheet name="Data Dictionary" sheetId="2" r:id="rId7"/>
    <sheet name="Project Brief" sheetId="3" r:id="rId8"/>
  </sheets>
  <calcPr calcId="152511"/>
  <pivotCaches>
    <pivotCache cacheId="9" r:id="rId9"/>
  </pivotCaches>
</workbook>
</file>

<file path=xl/calcChain.xml><?xml version="1.0" encoding="utf-8"?>
<calcChain xmlns="http://schemas.openxmlformats.org/spreadsheetml/2006/main">
  <c r="O136" i="1" l="1"/>
  <c r="O1048576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</calcChain>
</file>

<file path=xl/sharedStrings.xml><?xml version="1.0" encoding="utf-8"?>
<sst xmlns="http://schemas.openxmlformats.org/spreadsheetml/2006/main" count="670" uniqueCount="76">
  <si>
    <t>RO Number</t>
  </si>
  <si>
    <t>Service Type</t>
  </si>
  <si>
    <t>Check-in Time</t>
  </si>
  <si>
    <t>Tech Assigned</t>
  </si>
  <si>
    <t>Tech Start Time</t>
  </si>
  <si>
    <t>FRT (min)</t>
  </si>
  <si>
    <t>Actual Tech Time (min)</t>
  </si>
  <si>
    <t>Repair Complete Time</t>
  </si>
  <si>
    <t>Check-out Time</t>
  </si>
  <si>
    <t>Transportation Type</t>
  </si>
  <si>
    <t>Revenue ($)</t>
  </si>
  <si>
    <t>Goodwill ($)</t>
  </si>
  <si>
    <t>Parts Available</t>
  </si>
  <si>
    <t>Parts Delay (min)</t>
  </si>
  <si>
    <t>Maintenance</t>
  </si>
  <si>
    <t>Tech A</t>
  </si>
  <si>
    <t>Loaner</t>
  </si>
  <si>
    <t>Yes</t>
  </si>
  <si>
    <t>Waiter</t>
  </si>
  <si>
    <t>Diagnostic</t>
  </si>
  <si>
    <t>Tech C</t>
  </si>
  <si>
    <t>Tech D</t>
  </si>
  <si>
    <t>Tech B</t>
  </si>
  <si>
    <t>Drop-off</t>
  </si>
  <si>
    <t>No</t>
  </si>
  <si>
    <t>Repair</t>
  </si>
  <si>
    <t>Column</t>
  </si>
  <si>
    <t>Meaning</t>
  </si>
  <si>
    <t>Raw or Derived?</t>
  </si>
  <si>
    <t>Unique synthetic repair order identifier</t>
  </si>
  <si>
    <t>Raw</t>
  </si>
  <si>
    <t>Maintenance, Repair, or Diagnostic</t>
  </si>
  <si>
    <t>Time vehicle/customer checked in</t>
  </si>
  <si>
    <t>Technician assigned to the RO</t>
  </si>
  <si>
    <t>Time technician began work</t>
  </si>
  <si>
    <t>Estimated/flat-rate labor time in minutes</t>
  </si>
  <si>
    <t>Actual technician work time in minutes</t>
  </si>
  <si>
    <t>Time repair/service work was completed</t>
  </si>
  <si>
    <t>Time vehicle/customer completed checkout</t>
  </si>
  <si>
    <t>Waiter, Loaner, or Drop-off</t>
  </si>
  <si>
    <t>Synthetic RO revenue/estimate</t>
  </si>
  <si>
    <t>Synthetic goodwill/compensation amount</t>
  </si>
  <si>
    <t>Whether required parts were available at service time</t>
  </si>
  <si>
    <t>Minutes of delay attributed to parts availability</t>
  </si>
  <si>
    <t>Wait-to-Tech</t>
  </si>
  <si>
    <t>Tech Start Time − Check-in Time</t>
  </si>
  <si>
    <t>Derived — calculate yourself</t>
  </si>
  <si>
    <t>Total Wait</t>
  </si>
  <si>
    <t>Check-out Time − Check-in Time</t>
  </si>
  <si>
    <t>FRT Variance</t>
  </si>
  <si>
    <t>Actual Tech Time − FRT</t>
  </si>
  <si>
    <t>Cars per Tech</t>
  </si>
  <si>
    <t>Count of ROs grouped by technician/time period</t>
  </si>
  <si>
    <t>AUTOMOTIVE SERVICE OPERATIONS EFFICIENCY ANALYSIS</t>
  </si>
  <si>
    <t>Portfolio dataset — synthetic data only</t>
  </si>
  <si>
    <t>Business Question</t>
  </si>
  <si>
    <t>How can an automotive service operation reduce customer wait times and WIP without negatively affecting technician productivity and throughput?</t>
  </si>
  <si>
    <t>Your first assignment</t>
  </si>
  <si>
    <t>1. Inspect the raw data. Do not modify the Raw Data sheet.</t>
  </si>
  <si>
    <t>2. Identify missing values, duplicates, inconsistent categories, impossible timestamps, or other quality issues.</t>
  </si>
  <si>
    <t>3. Create derived fields for Wait-to-Tech, Total Wait, and FRT Variance.</t>
  </si>
  <si>
    <t>4. Calculate initial KPIs only after cleaning/validation.</t>
  </si>
  <si>
    <t>Important</t>
  </si>
  <si>
    <t>The dataset contains synthetic operational patterns. You have not been told what they are. Treat them as hypotheses to discover, not predetermined conclusions.</t>
  </si>
  <si>
    <t>Wait to Tech (Minutes)</t>
  </si>
  <si>
    <t>Total Service Time (Minutes)</t>
  </si>
  <si>
    <t>FRT Variance (Minutes)</t>
  </si>
  <si>
    <t>Column1</t>
  </si>
  <si>
    <t>Column2</t>
  </si>
  <si>
    <t>Row Labels</t>
  </si>
  <si>
    <t>Grand Total</t>
  </si>
  <si>
    <t>Average of Wait to Tech (Minutes)</t>
  </si>
  <si>
    <t>Average of Total Service Time (Minutes)</t>
  </si>
  <si>
    <t>Average of Parts Delay (min)</t>
  </si>
  <si>
    <t>Average of FRT Variance (Minutes)</t>
  </si>
  <si>
    <t>Count of RO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</si>
</sst>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"/>
    <numFmt numFmtId="165" formatCode="\$0"/>
  </numFmts>
  <fonts count="6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name val="Carlito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165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wrapText="1"/>
    </xf>
    <xf numFmtId="0" fontId="5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[automotive_service_operations_portfolio_dataset.xlsx]Sheet1!PivotTable1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Diagnostic</c:v>
                </c:pt>
                <c:pt idx="1">
                  <c:v>Maintenance</c:v>
                </c:pt>
                <c:pt idx="2">
                  <c:v>Repair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77.545454544861883</c:v>
                </c:pt>
                <c:pt idx="1">
                  <c:v>49.062500000472937</c:v>
                </c:pt>
                <c:pt idx="2">
                  <c:v>113.89552238838635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77130688"/>
        <c:axId val="-1077126880"/>
      </c:barChart>
      <c:catAx>
        <c:axId val="-107713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7126880"/>
        <c:crosses val="autoZero"/>
        <c:auto val="1"/>
        <c:lblAlgn val="ctr"/>
        <c:lblOffset val="100"/>
        <c:noMultiLvlLbl val="0"/>
      </c:catAx>
      <c:valAx>
        <c:axId val="-107712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713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[automotive_service_operations_portfolio_dataset.xlsx]Sheet2!PivotTable2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Average of Wait to Tech (Minutes)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Diagnostic</c:v>
                </c:pt>
                <c:pt idx="1">
                  <c:v>Maintenance</c:v>
                </c:pt>
                <c:pt idx="2">
                  <c:v>Repair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77.545454544861883</c:v>
                </c:pt>
                <c:pt idx="1">
                  <c:v>49.062500000472937</c:v>
                </c:pt>
                <c:pt idx="2">
                  <c:v>113.89552238838635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of Total Service Time (Minutes)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Diagnostic</c:v>
                </c:pt>
                <c:pt idx="1">
                  <c:v>Maintenance</c:v>
                </c:pt>
                <c:pt idx="2">
                  <c:v>Repair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252.93939393839207</c:v>
                </c:pt>
                <c:pt idx="1">
                  <c:v>162.53125000035652</c:v>
                </c:pt>
                <c:pt idx="2">
                  <c:v>374.94029850721597</c:v>
                </c:pt>
              </c:numCache>
            </c:numRef>
          </c:val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Average of Parts Delay (min)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Diagnostic</c:v>
                </c:pt>
                <c:pt idx="1">
                  <c:v>Maintenance</c:v>
                </c:pt>
                <c:pt idx="2">
                  <c:v>Repair</c:v>
                </c:pt>
              </c:strCache>
            </c:strRef>
          </c:cat>
          <c:val>
            <c:numRef>
              <c:f>Sheet2!$D$4:$D$7</c:f>
              <c:numCache>
                <c:formatCode>General</c:formatCode>
                <c:ptCount val="3"/>
                <c:pt idx="0">
                  <c:v>24.09090909090909</c:v>
                </c:pt>
                <c:pt idx="1">
                  <c:v>14.0625</c:v>
                </c:pt>
                <c:pt idx="2">
                  <c:v>39.626865671641788</c:v>
                </c:pt>
              </c:numCache>
            </c:numRef>
          </c:val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Average of FRT Variance (Minutes)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Diagnostic</c:v>
                </c:pt>
                <c:pt idx="1">
                  <c:v>Maintenance</c:v>
                </c:pt>
                <c:pt idx="2">
                  <c:v>Repair</c:v>
                </c:pt>
              </c:strCache>
            </c:strRef>
          </c:cat>
          <c:val>
            <c:numRef>
              <c:f>Sheet2!$E$4:$E$7</c:f>
              <c:numCache>
                <c:formatCode>General</c:formatCode>
                <c:ptCount val="3"/>
                <c:pt idx="0">
                  <c:v>25.393939393939394</c:v>
                </c:pt>
                <c:pt idx="1">
                  <c:v>5.90625</c:v>
                </c:pt>
                <c:pt idx="2">
                  <c:v>23.343283582089551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678892240"/>
        <c:axId val="-678885712"/>
      </c:barChart>
      <c:catAx>
        <c:axId val="-67889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78885712"/>
        <c:crosses val="autoZero"/>
        <c:auto val="1"/>
        <c:lblAlgn val="ctr"/>
        <c:lblOffset val="100"/>
        <c:noMultiLvlLbl val="0"/>
      </c:catAx>
      <c:valAx>
        <c:axId val="-67888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7889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[automotive_service_operations_portfolio_dataset.xlsx]Sheet3!PivotTable3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6914260717410329E-2"/>
          <c:y val="0.2572178477690289"/>
          <c:w val="0.56571894138232726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Count of RO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Tech A</c:v>
                </c:pt>
                <c:pt idx="1">
                  <c:v>Tech B</c:v>
                </c:pt>
                <c:pt idx="2">
                  <c:v>Tech C</c:v>
                </c:pt>
                <c:pt idx="3">
                  <c:v>Tech D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59</c:v>
                </c:pt>
                <c:pt idx="1">
                  <c:v>27</c:v>
                </c:pt>
                <c:pt idx="2">
                  <c:v>25</c:v>
                </c:pt>
                <c:pt idx="3">
                  <c:v>21</c:v>
                </c:pt>
              </c:numCache>
            </c:numRef>
          </c:val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Wait to Tech (Minutes)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Tech A</c:v>
                </c:pt>
                <c:pt idx="1">
                  <c:v>Tech B</c:v>
                </c:pt>
                <c:pt idx="2">
                  <c:v>Tech C</c:v>
                </c:pt>
                <c:pt idx="3">
                  <c:v>Tech D</c:v>
                </c:pt>
              </c:strCache>
            </c:strRef>
          </c:cat>
          <c:val>
            <c:numRef>
              <c:f>Sheet3!$C$4:$C$8</c:f>
              <c:numCache>
                <c:formatCode>General</c:formatCode>
                <c:ptCount val="4"/>
                <c:pt idx="0">
                  <c:v>90.355932204194872</c:v>
                </c:pt>
                <c:pt idx="1">
                  <c:v>93.629629629043237</c:v>
                </c:pt>
                <c:pt idx="2">
                  <c:v>72.799999999254936</c:v>
                </c:pt>
                <c:pt idx="3">
                  <c:v>99.09523809544875</c:v>
                </c:pt>
              </c:numCache>
            </c:numRef>
          </c:val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Average of FRT Variance (Minutes)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Tech A</c:v>
                </c:pt>
                <c:pt idx="1">
                  <c:v>Tech B</c:v>
                </c:pt>
                <c:pt idx="2">
                  <c:v>Tech C</c:v>
                </c:pt>
                <c:pt idx="3">
                  <c:v>Tech D</c:v>
                </c:pt>
              </c:strCache>
            </c:strRef>
          </c:cat>
          <c:val>
            <c:numRef>
              <c:f>Sheet3!$D$4:$D$8</c:f>
              <c:numCache>
                <c:formatCode>General</c:formatCode>
                <c:ptCount val="4"/>
                <c:pt idx="0">
                  <c:v>20.050847457627118</c:v>
                </c:pt>
                <c:pt idx="1">
                  <c:v>18.037037037037038</c:v>
                </c:pt>
                <c:pt idx="2">
                  <c:v>19.36</c:v>
                </c:pt>
                <c:pt idx="3">
                  <c:v>20.80952380952381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678887344"/>
        <c:axId val="-678882992"/>
      </c:barChart>
      <c:catAx>
        <c:axId val="-67888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78882992"/>
        <c:crosses val="autoZero"/>
        <c:auto val="1"/>
        <c:lblAlgn val="ctr"/>
        <c:lblOffset val="100"/>
        <c:noMultiLvlLbl val="0"/>
      </c:catAx>
      <c:valAx>
        <c:axId val="-67888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7888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[automotive_service_operations_portfolio_dataset.xlsx]Sheet4!PivotTable4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Sheet4!$A$4:$A$20</c:f>
              <c:multiLvlStrCache>
                <c:ptCount val="12"/>
                <c:lvl>
                  <c:pt idx="0">
                    <c:v>Diagnostic</c:v>
                  </c:pt>
                  <c:pt idx="1">
                    <c:v>Maintenance</c:v>
                  </c:pt>
                  <c:pt idx="2">
                    <c:v>Repair</c:v>
                  </c:pt>
                  <c:pt idx="3">
                    <c:v>Diagnostic</c:v>
                  </c:pt>
                  <c:pt idx="4">
                    <c:v>Maintenance</c:v>
                  </c:pt>
                  <c:pt idx="5">
                    <c:v>Repair</c:v>
                  </c:pt>
                  <c:pt idx="6">
                    <c:v>Diagnostic</c:v>
                  </c:pt>
                  <c:pt idx="7">
                    <c:v>Maintenance</c:v>
                  </c:pt>
                  <c:pt idx="8">
                    <c:v>Repair</c:v>
                  </c:pt>
                  <c:pt idx="9">
                    <c:v>Diagnostic</c:v>
                  </c:pt>
                  <c:pt idx="10">
                    <c:v>Maintenance</c:v>
                  </c:pt>
                  <c:pt idx="11">
                    <c:v>Repair</c:v>
                  </c:pt>
                </c:lvl>
                <c:lvl>
                  <c:pt idx="0">
                    <c:v>Tech A</c:v>
                  </c:pt>
                  <c:pt idx="3">
                    <c:v>Tech B</c:v>
                  </c:pt>
                  <c:pt idx="6">
                    <c:v>Tech C</c:v>
                  </c:pt>
                  <c:pt idx="9">
                    <c:v>Tech D</c:v>
                  </c:pt>
                </c:lvl>
              </c:multiLvlStrCache>
            </c:multiLvlStrRef>
          </c:cat>
          <c:val>
            <c:numRef>
              <c:f>Sheet4!$B$4:$B$20</c:f>
              <c:numCache>
                <c:formatCode>General</c:formatCode>
                <c:ptCount val="12"/>
                <c:pt idx="0">
                  <c:v>19</c:v>
                </c:pt>
                <c:pt idx="1">
                  <c:v>14</c:v>
                </c:pt>
                <c:pt idx="2">
                  <c:v>26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4</c:v>
                </c:pt>
                <c:pt idx="7">
                  <c:v>9</c:v>
                </c:pt>
                <c:pt idx="8">
                  <c:v>12</c:v>
                </c:pt>
                <c:pt idx="9">
                  <c:v>3</c:v>
                </c:pt>
                <c:pt idx="10">
                  <c:v>4</c:v>
                </c:pt>
                <c:pt idx="11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678886256"/>
        <c:axId val="-678889520"/>
      </c:barChart>
      <c:catAx>
        <c:axId val="-67888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78889520"/>
        <c:crosses val="autoZero"/>
        <c:auto val="1"/>
        <c:lblAlgn val="ctr"/>
        <c:lblOffset val="100"/>
        <c:noMultiLvlLbl val="0"/>
      </c:catAx>
      <c:valAx>
        <c:axId val="-67888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7888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[automotive_service_operations_portfolio_dataset.xlsx]Sheet5!PivotTable5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Sheet5!$A$4:$A$13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Diagnostic</c:v>
                  </c:pt>
                  <c:pt idx="2">
                    <c:v>Maintenance</c:v>
                  </c:pt>
                  <c:pt idx="4">
                    <c:v>Repair</c:v>
                  </c:pt>
                </c:lvl>
              </c:multiLvlStrCache>
            </c:multiLvlStrRef>
          </c:cat>
          <c:val>
            <c:numRef>
              <c:f>Sheet5!$B$4:$B$13</c:f>
              <c:numCache>
                <c:formatCode>General</c:formatCode>
                <c:ptCount val="6"/>
                <c:pt idx="0">
                  <c:v>8</c:v>
                </c:pt>
                <c:pt idx="1">
                  <c:v>25</c:v>
                </c:pt>
                <c:pt idx="2">
                  <c:v>6</c:v>
                </c:pt>
                <c:pt idx="3">
                  <c:v>26</c:v>
                </c:pt>
                <c:pt idx="4">
                  <c:v>28</c:v>
                </c:pt>
                <c:pt idx="5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678885168"/>
        <c:axId val="-678884624"/>
      </c:barChart>
      <c:catAx>
        <c:axId val="-67888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78884624"/>
        <c:crosses val="autoZero"/>
        <c:auto val="1"/>
        <c:lblAlgn val="ctr"/>
        <c:lblOffset val="100"/>
        <c:noMultiLvlLbl val="0"/>
      </c:catAx>
      <c:valAx>
        <c:axId val="-67888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7888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10</xdr:row>
      <xdr:rowOff>53340</xdr:rowOff>
    </xdr:from>
    <xdr:to>
      <xdr:col>3</xdr:col>
      <xdr:colOff>601980</xdr:colOff>
      <xdr:row>25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1691640</xdr:colOff>
      <xdr:row>12</xdr:row>
      <xdr:rowOff>0</xdr:rowOff>
    </xdr:from>
    <xdr:to>
      <xdr:col>4</xdr:col>
      <xdr:colOff>1996440</xdr:colOff>
      <xdr:row>27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1981200</xdr:colOff>
      <xdr:row>11</xdr:row>
      <xdr:rowOff>45720</xdr:rowOff>
    </xdr:from>
    <xdr:to>
      <xdr:col>6</xdr:col>
      <xdr:colOff>434340</xdr:colOff>
      <xdr:row>26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8</xdr:row>
      <xdr:rowOff>53340</xdr:rowOff>
    </xdr:from>
    <xdr:to>
      <xdr:col>14</xdr:col>
      <xdr:colOff>114300</xdr:colOff>
      <xdr:row>23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8</xdr:row>
      <xdr:rowOff>53340</xdr:rowOff>
    </xdr:from>
    <xdr:to>
      <xdr:col>14</xdr:col>
      <xdr:colOff>114300</xdr:colOff>
      <xdr:row>23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CER" refreshedDate="46300.871890972223" createdVersion="5" refreshedVersion="5" minRefreshableVersion="3" recordCount="132">
  <cacheSource type="worksheet">
    <worksheetSource name="ServiceOrdersTable"/>
  </cacheSource>
  <cacheFields count="19">
    <cacheField name="RO Number" numFmtId="0">
      <sharedItems containsSemiMixedTypes="0" containsString="0" containsNumber="1" containsInteger="1" minValue="2001" maxValue="2132" count="132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</sharedItems>
    </cacheField>
    <cacheField name="Service Type" numFmtId="0">
      <sharedItems count="3">
        <s v="Maintenance"/>
        <s v="Diagnostic"/>
        <s v="Repair"/>
      </sharedItems>
    </cacheField>
    <cacheField name="Check-in Time" numFmtId="164">
      <sharedItems containsSemiMixedTypes="0" containsNonDate="0" containsDate="1" containsString="0" minDate="2026-07-06T08:15:00" maxDate="2026-07-24T13:45:00"/>
    </cacheField>
    <cacheField name="Tech Assigned" numFmtId="0">
      <sharedItems count="4">
        <s v="Tech A"/>
        <s v="Tech C"/>
        <s v="Tech D"/>
        <s v="Tech B"/>
      </sharedItems>
    </cacheField>
    <cacheField name="Tech Start Time" numFmtId="164">
      <sharedItems containsSemiMixedTypes="0" containsNonDate="0" containsDate="1" containsString="0" minDate="2026-07-06T08:40:00" maxDate="2026-07-24T14:50:00"/>
    </cacheField>
    <cacheField name="FRT (min)" numFmtId="0">
      <sharedItems containsSemiMixedTypes="0" containsString="0" containsNumber="1" containsInteger="1" minValue="45" maxValue="240"/>
    </cacheField>
    <cacheField name="Actual Tech Time (min)" numFmtId="0">
      <sharedItems containsSemiMixedTypes="0" containsString="0" containsNumber="1" containsInteger="1" minValue="36" maxValue="344"/>
    </cacheField>
    <cacheField name="Repair Complete Time" numFmtId="164">
      <sharedItems containsSemiMixedTypes="0" containsNonDate="0" containsDate="1" containsString="0" minDate="2026-07-06T10:02:00" maxDate="2026-07-24T19:25:00"/>
    </cacheField>
    <cacheField name="Check-out Time" numFmtId="164">
      <sharedItems containsSemiMixedTypes="0" containsNonDate="0" containsDate="1" containsString="0" minDate="2026-07-06T10:52:00" maxDate="2026-07-24T20:15:00"/>
    </cacheField>
    <cacheField name="Transportation Type" numFmtId="0">
      <sharedItems/>
    </cacheField>
    <cacheField name="Revenue ($)" numFmtId="165">
      <sharedItems containsSemiMixedTypes="0" containsString="0" containsNumber="1" containsInteger="1" minValue="187" maxValue="1347"/>
    </cacheField>
    <cacheField name="Goodwill ($)" numFmtId="165">
      <sharedItems containsSemiMixedTypes="0" containsString="0" containsNumber="1" containsInteger="1" minValue="0" maxValue="300"/>
    </cacheField>
    <cacheField name="Parts Available" numFmtId="0">
      <sharedItems count="2">
        <s v="Yes"/>
        <s v="No"/>
      </sharedItems>
    </cacheField>
    <cacheField name="Parts Delay (min)" numFmtId="0">
      <sharedItems containsSemiMixedTypes="0" containsString="0" containsNumber="1" containsInteger="1" minValue="0" maxValue="180"/>
    </cacheField>
    <cacheField name="Wait to Tech (Minutes)" numFmtId="0">
      <sharedItems containsSemiMixedTypes="0" containsString="0" containsNumber="1" minValue="14.99999999650754" maxValue="208.00000000745058"/>
    </cacheField>
    <cacheField name="Total Service Time (Minutes)" numFmtId="0">
      <sharedItems containsSemiMixedTypes="0" containsString="0" containsNumber="1" minValue="85.999999997438863" maxValue="615.99999999627471"/>
    </cacheField>
    <cacheField name="FRT Variance (Minutes)" numFmtId="0">
      <sharedItems containsSemiMixedTypes="0" containsString="0" containsNumber="1" containsInteger="1" minValue="-60" maxValue="104"/>
    </cacheField>
    <cacheField name="Column1" numFmtId="0">
      <sharedItems containsNonDate="0" containsString="0" containsBlank="1"/>
    </cacheField>
    <cacheField name="Column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2">
  <r>
    <x v="0"/>
    <x v="0"/>
    <d v="2026-07-06T09:20:00"/>
    <x v="0"/>
    <d v="2026-07-06T10:09:00"/>
    <n v="45"/>
    <n v="59"/>
    <d v="2026-07-06T11:08:00"/>
    <d v="2026-07-06T11:32:00"/>
    <s v="Loaner"/>
    <n v="187"/>
    <n v="0"/>
    <x v="0"/>
    <n v="0"/>
    <n v="49.000000002561137"/>
    <n v="132.00000000069849"/>
    <n v="14"/>
    <m/>
    <m/>
  </r>
  <r>
    <x v="1"/>
    <x v="0"/>
    <d v="2026-07-06T09:45:00"/>
    <x v="0"/>
    <d v="2026-07-06T10:00:00"/>
    <n v="75"/>
    <n v="84"/>
    <d v="2026-07-06T11:24:00"/>
    <d v="2026-07-06T12:01:00"/>
    <s v="Waiter"/>
    <n v="374"/>
    <n v="0"/>
    <x v="0"/>
    <n v="0"/>
    <n v="14.99999999650754"/>
    <n v="136.00000000325963"/>
    <n v="9"/>
    <m/>
    <m/>
  </r>
  <r>
    <x v="2"/>
    <x v="0"/>
    <d v="2026-07-06T10:10:00"/>
    <x v="0"/>
    <d v="2026-07-06T10:47:00"/>
    <n v="45"/>
    <n v="57"/>
    <d v="2026-07-06T11:44:00"/>
    <d v="2026-07-06T12:23:00"/>
    <s v="Loaner"/>
    <n v="386"/>
    <n v="0"/>
    <x v="0"/>
    <n v="0"/>
    <n v="37.000000005355105"/>
    <n v="133.00000000395812"/>
    <n v="12"/>
    <m/>
    <m/>
  </r>
  <r>
    <x v="3"/>
    <x v="1"/>
    <d v="2026-07-06T11:10:00"/>
    <x v="1"/>
    <d v="2026-07-06T12:31:00"/>
    <n v="120"/>
    <n v="116"/>
    <d v="2026-07-06T14:27:00"/>
    <d v="2026-07-06T14:41:00"/>
    <s v="Waiter"/>
    <n v="645"/>
    <n v="0"/>
    <x v="0"/>
    <n v="0"/>
    <n v="80.999999991618097"/>
    <n v="210.99999999627471"/>
    <n v="-4"/>
    <m/>
    <m/>
  </r>
  <r>
    <x v="4"/>
    <x v="0"/>
    <d v="2026-07-06T09:10:00"/>
    <x v="2"/>
    <d v="2026-07-06T09:49:00"/>
    <n v="45"/>
    <n v="42"/>
    <d v="2026-07-06T10:31:00"/>
    <d v="2026-07-06T11:03:00"/>
    <s v="Waiter"/>
    <n v="273"/>
    <n v="0"/>
    <x v="0"/>
    <n v="0"/>
    <n v="39.000000001396984"/>
    <n v="113.00000000162981"/>
    <n v="-3"/>
    <m/>
    <m/>
  </r>
  <r>
    <x v="5"/>
    <x v="0"/>
    <d v="2026-07-06T08:15:00"/>
    <x v="3"/>
    <d v="2026-07-06T08:40:00"/>
    <n v="60"/>
    <n v="82"/>
    <d v="2026-07-06T10:02:00"/>
    <d v="2026-07-06T10:52:00"/>
    <s v="Drop-off"/>
    <n v="298"/>
    <n v="0"/>
    <x v="0"/>
    <n v="0"/>
    <n v="24.999999997671694"/>
    <n v="156.99999999837019"/>
    <n v="22"/>
    <m/>
    <m/>
  </r>
  <r>
    <x v="6"/>
    <x v="0"/>
    <d v="2026-07-06T10:00:00"/>
    <x v="0"/>
    <d v="2026-07-06T10:35:00"/>
    <n v="45"/>
    <n v="41"/>
    <d v="2026-07-06T13:16:00"/>
    <d v="2026-07-06T13:39:00"/>
    <s v="Drop-off"/>
    <n v="413"/>
    <n v="0"/>
    <x v="1"/>
    <n v="120"/>
    <n v="34.999999998835847"/>
    <n v="219.00000000139698"/>
    <n v="-4"/>
    <m/>
    <m/>
  </r>
  <r>
    <x v="7"/>
    <x v="1"/>
    <d v="2026-07-07T12:15:00"/>
    <x v="0"/>
    <d v="2026-07-07T13:23:00"/>
    <n v="60"/>
    <n v="77"/>
    <d v="2026-07-07T14:40:00"/>
    <d v="2026-07-07T15:27:00"/>
    <s v="Loaner"/>
    <n v="732"/>
    <n v="0"/>
    <x v="0"/>
    <n v="0"/>
    <n v="68.000000001629815"/>
    <n v="192.00000000768341"/>
    <n v="17"/>
    <m/>
    <m/>
  </r>
  <r>
    <x v="8"/>
    <x v="0"/>
    <d v="2026-07-07T08:50:00"/>
    <x v="0"/>
    <d v="2026-07-07T09:12:00"/>
    <n v="45"/>
    <n v="50"/>
    <d v="2026-07-07T10:02:00"/>
    <d v="2026-07-07T10:16:00"/>
    <s v="Loaner"/>
    <n v="354"/>
    <n v="0"/>
    <x v="0"/>
    <n v="0"/>
    <n v="21.999999998370185"/>
    <n v="85.999999997438863"/>
    <n v="5"/>
    <m/>
    <m/>
  </r>
  <r>
    <x v="9"/>
    <x v="2"/>
    <d v="2026-07-07T12:30:00"/>
    <x v="2"/>
    <d v="2026-07-07T14:47:00"/>
    <n v="90"/>
    <n v="117"/>
    <d v="2026-07-07T16:44:00"/>
    <d v="2026-07-07T17:28:00"/>
    <s v="Drop-off"/>
    <n v="1288"/>
    <n v="75"/>
    <x v="0"/>
    <n v="0"/>
    <n v="136.99999999604188"/>
    <n v="297.9999999969732"/>
    <n v="27"/>
    <m/>
    <m/>
  </r>
  <r>
    <x v="10"/>
    <x v="2"/>
    <d v="2026-07-07T09:45:00"/>
    <x v="0"/>
    <d v="2026-07-07T12:07:00"/>
    <n v="90"/>
    <n v="120"/>
    <d v="2026-07-07T14:52:00"/>
    <d v="2026-07-07T15:42:00"/>
    <s v="Loaner"/>
    <n v="1062"/>
    <n v="175"/>
    <x v="1"/>
    <n v="45"/>
    <n v="142.00000000186265"/>
    <n v="357.00000000069849"/>
    <n v="30"/>
    <m/>
    <m/>
  </r>
  <r>
    <x v="11"/>
    <x v="0"/>
    <d v="2026-07-07T10:15:00"/>
    <x v="3"/>
    <d v="2026-07-07T11:08:00"/>
    <n v="45"/>
    <n v="37"/>
    <d v="2026-07-07T11:45:00"/>
    <d v="2026-07-07T12:02:00"/>
    <s v="Drop-off"/>
    <n v="262"/>
    <n v="0"/>
    <x v="0"/>
    <n v="0"/>
    <n v="52.999999994644895"/>
    <n v="106.99999999254942"/>
    <n v="-8"/>
    <m/>
    <m/>
  </r>
  <r>
    <x v="12"/>
    <x v="1"/>
    <d v="2026-07-07T09:20:00"/>
    <x v="0"/>
    <d v="2026-07-07T10:05:00"/>
    <n v="120"/>
    <n v="168"/>
    <d v="2026-07-07T13:53:00"/>
    <d v="2026-07-07T14:11:00"/>
    <s v="Loaner"/>
    <n v="385"/>
    <n v="100"/>
    <x v="1"/>
    <n v="60"/>
    <n v="45"/>
    <n v="290.99999999511056"/>
    <n v="48"/>
    <m/>
    <m/>
  </r>
  <r>
    <x v="13"/>
    <x v="2"/>
    <d v="2026-07-07T09:45:00"/>
    <x v="2"/>
    <d v="2026-07-07T12:08:00"/>
    <n v="240"/>
    <n v="289"/>
    <d v="2026-07-07T16:57:00"/>
    <d v="2026-07-07T17:26:00"/>
    <s v="Loaner"/>
    <n v="1256"/>
    <n v="275"/>
    <x v="0"/>
    <n v="0"/>
    <n v="143.00000000512227"/>
    <n v="461.00000000442378"/>
    <n v="49"/>
    <m/>
    <m/>
  </r>
  <r>
    <x v="14"/>
    <x v="2"/>
    <d v="2026-07-07T08:20:00"/>
    <x v="0"/>
    <d v="2026-07-07T09:12:00"/>
    <n v="150"/>
    <n v="146"/>
    <d v="2026-07-07T11:38:00"/>
    <d v="2026-07-07T12:28:00"/>
    <s v="Waiter"/>
    <n v="775"/>
    <n v="50"/>
    <x v="0"/>
    <n v="0"/>
    <n v="52.000000001862645"/>
    <n v="248.00000000162981"/>
    <n v="-4"/>
    <m/>
    <m/>
  </r>
  <r>
    <x v="15"/>
    <x v="1"/>
    <d v="2026-07-07T10:10:00"/>
    <x v="3"/>
    <d v="2026-07-07T11:47:00"/>
    <n v="90"/>
    <n v="98"/>
    <d v="2026-07-07T13:25:00"/>
    <d v="2026-07-07T14:11:00"/>
    <s v="Loaner"/>
    <n v="459"/>
    <n v="100"/>
    <x v="0"/>
    <n v="0"/>
    <n v="97.000000001862645"/>
    <n v="240.99999999976717"/>
    <n v="8"/>
    <m/>
    <m/>
  </r>
  <r>
    <x v="16"/>
    <x v="1"/>
    <d v="2026-07-07T11:20:00"/>
    <x v="0"/>
    <d v="2026-07-07T12:50:00"/>
    <n v="120"/>
    <n v="128"/>
    <d v="2026-07-07T14:58:00"/>
    <d v="2026-07-07T15:14:00"/>
    <s v="Waiter"/>
    <n v="723"/>
    <n v="0"/>
    <x v="0"/>
    <n v="0"/>
    <n v="90"/>
    <n v="234.0000000083819"/>
    <n v="8"/>
    <m/>
    <m/>
  </r>
  <r>
    <x v="17"/>
    <x v="1"/>
    <d v="2026-07-08T08:20:00"/>
    <x v="0"/>
    <d v="2026-07-08T10:20:00"/>
    <n v="120"/>
    <n v="164"/>
    <d v="2026-07-08T13:04:00"/>
    <d v="2026-07-08T13:43:00"/>
    <s v="Drop-off"/>
    <n v="421"/>
    <n v="50"/>
    <x v="0"/>
    <n v="0"/>
    <n v="120.00000000349246"/>
    <n v="323.00000000512227"/>
    <n v="44"/>
    <m/>
    <m/>
  </r>
  <r>
    <x v="18"/>
    <x v="0"/>
    <d v="2026-07-08T13:10:00"/>
    <x v="0"/>
    <d v="2026-07-08T13:58:00"/>
    <n v="45"/>
    <n v="71"/>
    <d v="2026-07-08T15:09:00"/>
    <d v="2026-07-08T15:32:00"/>
    <s v="Drop-off"/>
    <n v="222"/>
    <n v="0"/>
    <x v="0"/>
    <n v="0"/>
    <n v="47.999999999301508"/>
    <n v="142.00000000186265"/>
    <n v="26"/>
    <m/>
    <m/>
  </r>
  <r>
    <x v="19"/>
    <x v="1"/>
    <d v="2026-07-08T08:45:00"/>
    <x v="0"/>
    <d v="2026-07-08T10:17:00"/>
    <n v="90"/>
    <n v="86"/>
    <d v="2026-07-08T11:43:00"/>
    <d v="2026-07-08T12:28:00"/>
    <s v="Drop-off"/>
    <n v="582"/>
    <n v="0"/>
    <x v="0"/>
    <n v="0"/>
    <n v="91.999999996041879"/>
    <n v="222.99999999348074"/>
    <n v="-4"/>
    <m/>
    <m/>
  </r>
  <r>
    <x v="20"/>
    <x v="2"/>
    <d v="2026-07-08T09:30:00"/>
    <x v="0"/>
    <d v="2026-07-08T11:50:00"/>
    <n v="90"/>
    <n v="99"/>
    <d v="2026-07-08T13:29:00"/>
    <d v="2026-07-08T14:09:00"/>
    <s v="Drop-off"/>
    <n v="871"/>
    <n v="100"/>
    <x v="0"/>
    <n v="0"/>
    <n v="139.99999999534339"/>
    <n v="278.99999999790452"/>
    <n v="9"/>
    <m/>
    <m/>
  </r>
  <r>
    <x v="21"/>
    <x v="2"/>
    <d v="2026-07-08T07:10:00"/>
    <x v="2"/>
    <d v="2026-07-08T09:16:00"/>
    <n v="90"/>
    <n v="88"/>
    <d v="2026-07-08T11:59:00"/>
    <d v="2026-07-08T12:34:00"/>
    <s v="Drop-off"/>
    <n v="619"/>
    <n v="50"/>
    <x v="1"/>
    <n v="75"/>
    <n v="126.00000000209548"/>
    <n v="323.99999999790452"/>
    <n v="-2"/>
    <m/>
    <m/>
  </r>
  <r>
    <x v="22"/>
    <x v="2"/>
    <d v="2026-07-08T14:00:00"/>
    <x v="3"/>
    <d v="2026-07-08T16:14:00"/>
    <n v="180"/>
    <n v="164"/>
    <d v="2026-07-08T18:58:00"/>
    <d v="2026-07-08T19:28:00"/>
    <s v="Waiter"/>
    <n v="817"/>
    <n v="50"/>
    <x v="0"/>
    <n v="0"/>
    <n v="133.99999999674037"/>
    <n v="328.00000000046566"/>
    <n v="-16"/>
    <m/>
    <m/>
  </r>
  <r>
    <x v="23"/>
    <x v="0"/>
    <d v="2026-07-08T09:50:00"/>
    <x v="0"/>
    <d v="2026-07-08T10:39:00"/>
    <n v="45"/>
    <n v="36"/>
    <d v="2026-07-08T12:00:00"/>
    <d v="2026-07-08T12:14:00"/>
    <s v="Loaner"/>
    <n v="297"/>
    <n v="0"/>
    <x v="1"/>
    <n v="45"/>
    <n v="49.000000002561137"/>
    <n v="144.0000000083819"/>
    <n v="-9"/>
    <m/>
    <m/>
  </r>
  <r>
    <x v="24"/>
    <x v="2"/>
    <d v="2026-07-08T08:40:00"/>
    <x v="2"/>
    <d v="2026-07-08T10:17:00"/>
    <n v="120"/>
    <n v="126"/>
    <d v="2026-07-08T12:53:00"/>
    <d v="2026-07-08T13:38:00"/>
    <s v="Drop-off"/>
    <n v="1106"/>
    <n v="75"/>
    <x v="1"/>
    <n v="30"/>
    <n v="97.000000001862645"/>
    <n v="298.00000000745058"/>
    <n v="6"/>
    <m/>
    <m/>
  </r>
  <r>
    <x v="25"/>
    <x v="0"/>
    <d v="2026-07-08T08:30:00"/>
    <x v="0"/>
    <d v="2026-07-08T09:43:00"/>
    <n v="45"/>
    <n v="61"/>
    <d v="2026-07-08T10:44:00"/>
    <d v="2026-07-08T11:07:00"/>
    <s v="Drop-off"/>
    <n v="219"/>
    <n v="0"/>
    <x v="0"/>
    <n v="0"/>
    <n v="73.000000007450581"/>
    <n v="156.99999999837019"/>
    <n v="16"/>
    <m/>
    <m/>
  </r>
  <r>
    <x v="26"/>
    <x v="2"/>
    <d v="2026-07-09T09:50:00"/>
    <x v="0"/>
    <d v="2026-07-09T11:41:00"/>
    <n v="90"/>
    <n v="60"/>
    <d v="2026-07-09T14:11:00"/>
    <d v="2026-07-09T14:31:00"/>
    <s v="Loaner"/>
    <n v="595"/>
    <n v="100"/>
    <x v="1"/>
    <n v="90"/>
    <n v="111.00000000558794"/>
    <n v="281.00000000442378"/>
    <n v="-30"/>
    <m/>
    <m/>
  </r>
  <r>
    <x v="27"/>
    <x v="2"/>
    <d v="2026-07-09T13:00:00"/>
    <x v="0"/>
    <d v="2026-07-09T16:16:00"/>
    <n v="120"/>
    <n v="85"/>
    <d v="2026-07-09T17:41:00"/>
    <d v="2026-07-09T18:00:00"/>
    <s v="Waiter"/>
    <n v="586"/>
    <n v="75"/>
    <x v="0"/>
    <n v="0"/>
    <n v="195.99999999976717"/>
    <n v="300.00000000349246"/>
    <n v="-35"/>
    <m/>
    <m/>
  </r>
  <r>
    <x v="28"/>
    <x v="0"/>
    <d v="2026-07-09T07:40:00"/>
    <x v="0"/>
    <d v="2026-07-09T09:13:00"/>
    <n v="60"/>
    <n v="49"/>
    <d v="2026-07-09T10:02:00"/>
    <d v="2026-07-09T10:27:00"/>
    <s v="Drop-off"/>
    <n v="403"/>
    <n v="0"/>
    <x v="0"/>
    <n v="0"/>
    <n v="92.999999999301508"/>
    <n v="166.99999999953434"/>
    <n v="-11"/>
    <m/>
    <m/>
  </r>
  <r>
    <x v="29"/>
    <x v="1"/>
    <d v="2026-07-09T08:45:00"/>
    <x v="0"/>
    <d v="2026-07-09T11:24:00"/>
    <n v="120"/>
    <n v="169"/>
    <d v="2026-07-09T15:28:00"/>
    <d v="2026-07-09T15:55:00"/>
    <s v="Loaner"/>
    <n v="750"/>
    <n v="200"/>
    <x v="1"/>
    <n v="75"/>
    <n v="158.99999999441206"/>
    <n v="429.99999999767169"/>
    <n v="49"/>
    <m/>
    <m/>
  </r>
  <r>
    <x v="30"/>
    <x v="0"/>
    <d v="2026-07-09T12:20:00"/>
    <x v="0"/>
    <d v="2026-07-09T13:44:00"/>
    <n v="90"/>
    <n v="82"/>
    <d v="2026-07-09T15:06:00"/>
    <d v="2026-07-09T15:41:00"/>
    <s v="Waiter"/>
    <n v="238"/>
    <n v="0"/>
    <x v="0"/>
    <n v="0"/>
    <n v="84.000000001396984"/>
    <n v="200.99999999511056"/>
    <n v="-8"/>
    <m/>
    <m/>
  </r>
  <r>
    <x v="31"/>
    <x v="1"/>
    <d v="2026-07-09T09:40:00"/>
    <x v="3"/>
    <d v="2026-07-09T11:25:00"/>
    <n v="90"/>
    <n v="149"/>
    <d v="2026-07-09T15:24:00"/>
    <d v="2026-07-09T15:45:00"/>
    <s v="Waiter"/>
    <n v="364"/>
    <n v="175"/>
    <x v="1"/>
    <n v="90"/>
    <n v="104.99999999650754"/>
    <n v="364.99999999534339"/>
    <n v="59"/>
    <m/>
    <m/>
  </r>
  <r>
    <x v="32"/>
    <x v="2"/>
    <d v="2026-07-09T10:40:00"/>
    <x v="3"/>
    <d v="2026-07-09T12:10:00"/>
    <n v="240"/>
    <n v="234"/>
    <d v="2026-07-09T16:34:00"/>
    <d v="2026-07-09T17:17:00"/>
    <s v="Drop-off"/>
    <n v="810"/>
    <n v="200"/>
    <x v="1"/>
    <n v="30"/>
    <n v="90"/>
    <n v="396.99999999487773"/>
    <n v="-6"/>
    <m/>
    <m/>
  </r>
  <r>
    <x v="33"/>
    <x v="2"/>
    <d v="2026-07-09T09:40:00"/>
    <x v="3"/>
    <d v="2026-07-09T12:35:00"/>
    <n v="150"/>
    <n v="198"/>
    <d v="2026-07-09T17:23:00"/>
    <d v="2026-07-09T18:05:00"/>
    <s v="Waiter"/>
    <n v="871"/>
    <n v="275"/>
    <x v="1"/>
    <n v="90"/>
    <n v="174.99999999417923"/>
    <n v="504.99999999068677"/>
    <n v="48"/>
    <m/>
    <m/>
  </r>
  <r>
    <x v="34"/>
    <x v="2"/>
    <d v="2026-07-10T09:45:00"/>
    <x v="1"/>
    <d v="2026-07-10T12:01:00"/>
    <n v="180"/>
    <n v="201"/>
    <d v="2026-07-10T15:22:00"/>
    <d v="2026-07-10T16:07:00"/>
    <s v="Waiter"/>
    <n v="1132"/>
    <n v="125"/>
    <x v="0"/>
    <n v="0"/>
    <n v="136.00000000325963"/>
    <n v="381.99999999837019"/>
    <n v="21"/>
    <m/>
    <m/>
  </r>
  <r>
    <x v="35"/>
    <x v="2"/>
    <d v="2026-07-10T14:40:00"/>
    <x v="3"/>
    <d v="2026-07-10T16:56:00"/>
    <n v="180"/>
    <n v="179"/>
    <d v="2026-07-10T19:55:00"/>
    <d v="2026-07-10T20:15:00"/>
    <s v="Waiter"/>
    <n v="768"/>
    <n v="150"/>
    <x v="0"/>
    <n v="0"/>
    <n v="136.00000000325963"/>
    <n v="335.00000000232831"/>
    <n v="-1"/>
    <m/>
    <m/>
  </r>
  <r>
    <x v="36"/>
    <x v="2"/>
    <d v="2026-07-10T14:40:00"/>
    <x v="0"/>
    <d v="2026-07-10T16:56:00"/>
    <n v="120"/>
    <n v="110"/>
    <d v="2026-07-10T18:46:00"/>
    <d v="2026-07-10T19:11:00"/>
    <s v="Loaner"/>
    <n v="700"/>
    <n v="75"/>
    <x v="0"/>
    <n v="0"/>
    <n v="136.00000000325963"/>
    <n v="271.00000000325963"/>
    <n v="-10"/>
    <m/>
    <m/>
  </r>
  <r>
    <x v="37"/>
    <x v="2"/>
    <d v="2026-07-10T12:45:00"/>
    <x v="2"/>
    <d v="2026-07-10T13:59:00"/>
    <n v="240"/>
    <n v="327"/>
    <d v="2026-07-10T22:26:00"/>
    <d v="2026-07-10T23:01:00"/>
    <s v="Drop-off"/>
    <n v="1285"/>
    <n v="150"/>
    <x v="1"/>
    <n v="180"/>
    <n v="74.000000000232831"/>
    <n v="615.99999999627471"/>
    <n v="87"/>
    <m/>
    <m/>
  </r>
  <r>
    <x v="38"/>
    <x v="1"/>
    <d v="2026-07-10T08:45:00"/>
    <x v="0"/>
    <d v="2026-07-10T10:19:00"/>
    <n v="120"/>
    <n v="161"/>
    <d v="2026-07-10T13:00:00"/>
    <d v="2026-07-10T13:39:00"/>
    <s v="Loaner"/>
    <n v="412"/>
    <n v="100"/>
    <x v="0"/>
    <n v="0"/>
    <n v="93.999999992083758"/>
    <n v="293.99999999441206"/>
    <n v="41"/>
    <m/>
    <m/>
  </r>
  <r>
    <x v="39"/>
    <x v="2"/>
    <d v="2026-07-10T10:50:00"/>
    <x v="1"/>
    <d v="2026-07-10T12:34:00"/>
    <n v="240"/>
    <n v="277"/>
    <d v="2026-07-10T17:11:00"/>
    <d v="2026-07-10T17:31:00"/>
    <s v="Loaner"/>
    <n v="1111"/>
    <n v="175"/>
    <x v="0"/>
    <n v="0"/>
    <n v="103.99999999324791"/>
    <n v="400.99999999743886"/>
    <n v="37"/>
    <m/>
    <m/>
  </r>
  <r>
    <x v="40"/>
    <x v="2"/>
    <d v="2026-07-10T09:50:00"/>
    <x v="1"/>
    <d v="2026-07-10T11:36:00"/>
    <n v="150"/>
    <n v="193"/>
    <d v="2026-07-10T14:49:00"/>
    <d v="2026-07-10T15:33:00"/>
    <s v="Waiter"/>
    <n v="828"/>
    <n v="100"/>
    <x v="0"/>
    <n v="0"/>
    <n v="105.99999999976717"/>
    <n v="343.00000000745058"/>
    <n v="43"/>
    <m/>
    <m/>
  </r>
  <r>
    <x v="41"/>
    <x v="2"/>
    <d v="2026-07-10T08:20:00"/>
    <x v="0"/>
    <d v="2026-07-10T09:52:00"/>
    <n v="180"/>
    <n v="215"/>
    <d v="2026-07-10T13:27:00"/>
    <d v="2026-07-10T13:40:00"/>
    <s v="Drop-off"/>
    <n v="1105"/>
    <n v="50"/>
    <x v="0"/>
    <n v="0"/>
    <n v="92.000000006519258"/>
    <n v="320.00000000582077"/>
    <n v="35"/>
    <m/>
    <m/>
  </r>
  <r>
    <x v="42"/>
    <x v="2"/>
    <d v="2026-07-10T14:00:00"/>
    <x v="2"/>
    <d v="2026-07-10T15:38:00"/>
    <n v="240"/>
    <n v="185"/>
    <d v="2026-07-10T21:13:00"/>
    <d v="2026-07-10T21:57:00"/>
    <s v="Loaner"/>
    <n v="855"/>
    <n v="250"/>
    <x v="1"/>
    <n v="150"/>
    <n v="97.999999994644895"/>
    <n v="476.99999999371357"/>
    <n v="-55"/>
    <m/>
    <m/>
  </r>
  <r>
    <x v="43"/>
    <x v="2"/>
    <d v="2026-07-13T07:45:00"/>
    <x v="3"/>
    <d v="2026-07-13T10:07:00"/>
    <n v="180"/>
    <n v="213"/>
    <d v="2026-07-13T14:40:00"/>
    <d v="2026-07-13T15:29:00"/>
    <s v="Loaner"/>
    <n v="719"/>
    <n v="250"/>
    <x v="1"/>
    <n v="60"/>
    <n v="142.00000000186265"/>
    <n v="464.00000000372529"/>
    <n v="33"/>
    <m/>
    <m/>
  </r>
  <r>
    <x v="44"/>
    <x v="2"/>
    <d v="2026-07-13T08:45:00"/>
    <x v="0"/>
    <d v="2026-07-13T09:58:00"/>
    <n v="180"/>
    <n v="234"/>
    <d v="2026-07-13T13:52:00"/>
    <d v="2026-07-13T14:23:00"/>
    <s v="Drop-off"/>
    <n v="766"/>
    <n v="150"/>
    <x v="0"/>
    <n v="0"/>
    <n v="72.999999996973202"/>
    <n v="338.00000000162981"/>
    <n v="54"/>
    <m/>
    <m/>
  </r>
  <r>
    <x v="45"/>
    <x v="1"/>
    <d v="2026-07-13T09:10:00"/>
    <x v="3"/>
    <d v="2026-07-13T09:51:00"/>
    <n v="120"/>
    <n v="151"/>
    <d v="2026-07-13T12:22:00"/>
    <d v="2026-07-13T12:36:00"/>
    <s v="Drop-off"/>
    <n v="529"/>
    <n v="0"/>
    <x v="0"/>
    <n v="0"/>
    <n v="40.999999997438863"/>
    <n v="206.00000000093132"/>
    <n v="31"/>
    <m/>
    <m/>
  </r>
  <r>
    <x v="46"/>
    <x v="2"/>
    <d v="2026-07-13T07:20:00"/>
    <x v="0"/>
    <d v="2026-07-13T09:29:00"/>
    <n v="90"/>
    <n v="111"/>
    <d v="2026-07-13T11:20:00"/>
    <d v="2026-07-13T11:43:00"/>
    <s v="Drop-off"/>
    <n v="1235"/>
    <n v="75"/>
    <x v="0"/>
    <n v="0"/>
    <n v="129.00000000139698"/>
    <n v="262.99999999813735"/>
    <n v="21"/>
    <m/>
    <m/>
  </r>
  <r>
    <x v="47"/>
    <x v="2"/>
    <d v="2026-07-13T08:10:00"/>
    <x v="1"/>
    <d v="2026-07-13T09:39:00"/>
    <n v="120"/>
    <n v="149"/>
    <d v="2026-07-13T12:08:00"/>
    <d v="2026-07-13T12:37:00"/>
    <s v="Drop-off"/>
    <n v="660"/>
    <n v="100"/>
    <x v="0"/>
    <n v="0"/>
    <n v="88.999999996740371"/>
    <n v="266.99999999022111"/>
    <n v="29"/>
    <m/>
    <m/>
  </r>
  <r>
    <x v="48"/>
    <x v="1"/>
    <d v="2026-07-13T11:20:00"/>
    <x v="0"/>
    <d v="2026-07-13T12:26:00"/>
    <n v="120"/>
    <n v="178"/>
    <d v="2026-07-13T15:24:00"/>
    <d v="2026-07-13T15:41:00"/>
    <s v="Drop-off"/>
    <n v="700"/>
    <n v="100"/>
    <x v="0"/>
    <n v="0"/>
    <n v="66.000000005587935"/>
    <n v="261.00000000209548"/>
    <n v="58"/>
    <m/>
    <m/>
  </r>
  <r>
    <x v="49"/>
    <x v="2"/>
    <d v="2026-07-13T11:40:00"/>
    <x v="0"/>
    <d v="2026-07-13T12:31:00"/>
    <n v="150"/>
    <n v="203"/>
    <d v="2026-07-13T16:39:00"/>
    <d v="2026-07-13T17:16:00"/>
    <s v="Drop-off"/>
    <n v="980"/>
    <n v="175"/>
    <x v="1"/>
    <n v="45"/>
    <n v="50.999999998603016"/>
    <n v="336.00000000558794"/>
    <n v="53"/>
    <m/>
    <m/>
  </r>
  <r>
    <x v="50"/>
    <x v="2"/>
    <d v="2026-07-13T08:45:00"/>
    <x v="0"/>
    <d v="2026-07-13T10:58:00"/>
    <n v="240"/>
    <n v="260"/>
    <d v="2026-07-13T18:18:00"/>
    <d v="2026-07-13T18:55:00"/>
    <s v="Waiter"/>
    <n v="1101"/>
    <n v="300"/>
    <x v="1"/>
    <n v="180"/>
    <n v="132.99999999348074"/>
    <n v="609.99999999767169"/>
    <n v="20"/>
    <m/>
    <m/>
  </r>
  <r>
    <x v="51"/>
    <x v="0"/>
    <d v="2026-07-13T08:30:00"/>
    <x v="2"/>
    <d v="2026-07-13T09:14:00"/>
    <n v="60"/>
    <n v="88"/>
    <d v="2026-07-13T10:42:00"/>
    <d v="2026-07-13T11:16:00"/>
    <s v="Waiter"/>
    <n v="325"/>
    <n v="0"/>
    <x v="0"/>
    <n v="0"/>
    <n v="44.00000000721775"/>
    <n v="166.00000000675209"/>
    <n v="28"/>
    <m/>
    <m/>
  </r>
  <r>
    <x v="52"/>
    <x v="1"/>
    <d v="2026-07-14T08:50:00"/>
    <x v="0"/>
    <d v="2026-07-14T10:08:00"/>
    <n v="90"/>
    <n v="101"/>
    <d v="2026-07-14T11:49:00"/>
    <d v="2026-07-14T12:32:00"/>
    <s v="Drop-off"/>
    <n v="491"/>
    <n v="0"/>
    <x v="0"/>
    <n v="0"/>
    <n v="78.000000002793968"/>
    <n v="222.00000000069849"/>
    <n v="11"/>
    <m/>
    <m/>
  </r>
  <r>
    <x v="53"/>
    <x v="0"/>
    <d v="2026-07-14T11:50:00"/>
    <x v="1"/>
    <d v="2026-07-14T12:35:00"/>
    <n v="60"/>
    <n v="81"/>
    <d v="2026-07-14T13:56:00"/>
    <d v="2026-07-14T14:34:00"/>
    <s v="Drop-off"/>
    <n v="345"/>
    <n v="0"/>
    <x v="0"/>
    <n v="0"/>
    <n v="45"/>
    <n v="164.00000000023283"/>
    <n v="21"/>
    <m/>
    <m/>
  </r>
  <r>
    <x v="54"/>
    <x v="0"/>
    <d v="2026-07-14T09:45:00"/>
    <x v="1"/>
    <d v="2026-07-14T10:37:00"/>
    <n v="75"/>
    <n v="63"/>
    <d v="2026-07-14T11:40:00"/>
    <d v="2026-07-14T12:25:00"/>
    <s v="Waiter"/>
    <n v="268"/>
    <n v="0"/>
    <x v="0"/>
    <n v="0"/>
    <n v="52.000000001862645"/>
    <n v="159.99999999767169"/>
    <n v="-12"/>
    <m/>
    <m/>
  </r>
  <r>
    <x v="55"/>
    <x v="2"/>
    <d v="2026-07-14T09:30:00"/>
    <x v="0"/>
    <d v="2026-07-14T11:52:00"/>
    <n v="90"/>
    <n v="133"/>
    <d v="2026-07-14T14:05:00"/>
    <d v="2026-07-14T14:49:00"/>
    <s v="Waiter"/>
    <n v="747"/>
    <n v="100"/>
    <x v="0"/>
    <n v="0"/>
    <n v="141.99999999138527"/>
    <n v="318.99999999208376"/>
    <n v="43"/>
    <m/>
    <m/>
  </r>
  <r>
    <x v="56"/>
    <x v="0"/>
    <d v="2026-07-14T12:30:00"/>
    <x v="1"/>
    <d v="2026-07-14T12:51:00"/>
    <n v="75"/>
    <n v="82"/>
    <d v="2026-07-14T14:13:00"/>
    <d v="2026-07-14T14:23:00"/>
    <s v="Drop-off"/>
    <n v="272"/>
    <n v="0"/>
    <x v="0"/>
    <n v="0"/>
    <n v="20.999999995110556"/>
    <n v="113.00000000162981"/>
    <n v="7"/>
    <m/>
    <m/>
  </r>
  <r>
    <x v="57"/>
    <x v="0"/>
    <d v="2026-07-14T07:00:00"/>
    <x v="1"/>
    <d v="2026-07-14T07:55:00"/>
    <n v="60"/>
    <n v="50"/>
    <d v="2026-07-14T08:45:00"/>
    <d v="2026-07-14T09:01:00"/>
    <s v="Drop-off"/>
    <n v="402"/>
    <n v="0"/>
    <x v="0"/>
    <n v="0"/>
    <n v="55.000000001164153"/>
    <n v="121.00000000675209"/>
    <n v="-10"/>
    <m/>
    <m/>
  </r>
  <r>
    <x v="58"/>
    <x v="2"/>
    <d v="2026-07-14T12:50:00"/>
    <x v="3"/>
    <d v="2026-07-14T13:46:00"/>
    <n v="120"/>
    <n v="133"/>
    <d v="2026-07-14T18:29:00"/>
    <d v="2026-07-14T19:10:00"/>
    <s v="Loaner"/>
    <n v="666"/>
    <n v="150"/>
    <x v="1"/>
    <n v="150"/>
    <n v="56.000000004423782"/>
    <n v="380.00000000232831"/>
    <n v="13"/>
    <m/>
    <m/>
  </r>
  <r>
    <x v="59"/>
    <x v="0"/>
    <d v="2026-07-14T08:30:00"/>
    <x v="0"/>
    <d v="2026-07-14T08:52:00"/>
    <n v="60"/>
    <n v="91"/>
    <d v="2026-07-14T10:23:00"/>
    <d v="2026-07-14T11:11:00"/>
    <s v="Loaner"/>
    <n v="322"/>
    <n v="0"/>
    <x v="0"/>
    <n v="0"/>
    <n v="21.999999998370185"/>
    <n v="161.00000000093132"/>
    <n v="31"/>
    <m/>
    <m/>
  </r>
  <r>
    <x v="60"/>
    <x v="2"/>
    <d v="2026-07-14T13:45:00"/>
    <x v="3"/>
    <d v="2026-07-14T15:13:00"/>
    <n v="180"/>
    <n v="269"/>
    <d v="2026-07-14T19:42:00"/>
    <d v="2026-07-14T19:55:00"/>
    <s v="Waiter"/>
    <n v="862"/>
    <n v="200"/>
    <x v="0"/>
    <n v="0"/>
    <n v="88.000000003958121"/>
    <n v="370.00000000116415"/>
    <n v="89"/>
    <m/>
    <m/>
  </r>
  <r>
    <x v="61"/>
    <x v="2"/>
    <d v="2026-07-14T09:30:00"/>
    <x v="1"/>
    <d v="2026-07-14T10:50:00"/>
    <n v="120"/>
    <n v="60"/>
    <d v="2026-07-14T11:50:00"/>
    <d v="2026-07-14T12:10:00"/>
    <s v="Waiter"/>
    <n v="727"/>
    <n v="0"/>
    <x v="0"/>
    <n v="0"/>
    <n v="79.999999998835847"/>
    <n v="159.99999999767169"/>
    <n v="-60"/>
    <m/>
    <m/>
  </r>
  <r>
    <x v="62"/>
    <x v="2"/>
    <d v="2026-07-15T12:30:00"/>
    <x v="0"/>
    <d v="2026-07-15T15:58:00"/>
    <n v="150"/>
    <n v="153"/>
    <d v="2026-07-15T19:46:00"/>
    <d v="2026-07-15T20:23:00"/>
    <s v="Loaner"/>
    <n v="622"/>
    <n v="200"/>
    <x v="1"/>
    <n v="75"/>
    <n v="207.9999999969732"/>
    <n v="473.00000000162981"/>
    <n v="3"/>
    <m/>
    <m/>
  </r>
  <r>
    <x v="63"/>
    <x v="1"/>
    <d v="2026-07-15T08:10:00"/>
    <x v="0"/>
    <d v="2026-07-15T10:18:00"/>
    <n v="90"/>
    <n v="156"/>
    <d v="2026-07-15T12:54:00"/>
    <d v="2026-07-15T13:29:00"/>
    <s v="Loaner"/>
    <n v="574"/>
    <n v="75"/>
    <x v="0"/>
    <n v="0"/>
    <n v="127.99999999813735"/>
    <n v="318.99999999208376"/>
    <n v="66"/>
    <m/>
    <m/>
  </r>
  <r>
    <x v="64"/>
    <x v="2"/>
    <d v="2026-07-15T08:00:00"/>
    <x v="2"/>
    <d v="2026-07-15T10:58:00"/>
    <n v="150"/>
    <n v="167"/>
    <d v="2026-07-15T14:15:00"/>
    <d v="2026-07-15T14:42:00"/>
    <s v="Drop-off"/>
    <n v="1240"/>
    <n v="150"/>
    <x v="1"/>
    <n v="30"/>
    <n v="177.99999999348074"/>
    <n v="402.00000000069849"/>
    <n v="17"/>
    <m/>
    <m/>
  </r>
  <r>
    <x v="65"/>
    <x v="0"/>
    <d v="2026-07-15T13:50:00"/>
    <x v="2"/>
    <d v="2026-07-15T15:27:00"/>
    <n v="60"/>
    <n v="67"/>
    <d v="2026-07-15T16:34:00"/>
    <d v="2026-07-15T16:49:00"/>
    <s v="Loaner"/>
    <n v="291"/>
    <n v="0"/>
    <x v="0"/>
    <n v="0"/>
    <n v="97.000000001862645"/>
    <n v="178.99999999674037"/>
    <n v="7"/>
    <m/>
    <m/>
  </r>
  <r>
    <x v="66"/>
    <x v="2"/>
    <d v="2026-07-15T10:10:00"/>
    <x v="2"/>
    <d v="2026-07-15T12:43:00"/>
    <n v="150"/>
    <n v="157"/>
    <d v="2026-07-15T15:50:00"/>
    <d v="2026-07-15T16:29:00"/>
    <s v="Waiter"/>
    <n v="960"/>
    <n v="125"/>
    <x v="1"/>
    <n v="30"/>
    <n v="153.00000000628643"/>
    <n v="378.99999999906868"/>
    <n v="7"/>
    <m/>
    <m/>
  </r>
  <r>
    <x v="67"/>
    <x v="0"/>
    <d v="2026-07-15T11:00:00"/>
    <x v="1"/>
    <d v="2026-07-15T12:12:00"/>
    <n v="90"/>
    <n v="80"/>
    <d v="2026-07-15T13:32:00"/>
    <d v="2026-07-15T14:21:00"/>
    <s v="Drop-off"/>
    <n v="193"/>
    <n v="0"/>
    <x v="0"/>
    <n v="0"/>
    <n v="71.999999993713573"/>
    <n v="200.99999999511056"/>
    <n v="-10"/>
    <m/>
    <m/>
  </r>
  <r>
    <x v="68"/>
    <x v="2"/>
    <d v="2026-07-15T07:20:00"/>
    <x v="0"/>
    <d v="2026-07-15T09:46:00"/>
    <n v="120"/>
    <n v="84"/>
    <d v="2026-07-15T11:10:00"/>
    <d v="2026-07-15T11:35:00"/>
    <s v="Waiter"/>
    <n v="674"/>
    <n v="100"/>
    <x v="0"/>
    <n v="0"/>
    <n v="146.00000000442378"/>
    <n v="255.00000000349246"/>
    <n v="-36"/>
    <m/>
    <m/>
  </r>
  <r>
    <x v="69"/>
    <x v="2"/>
    <d v="2026-07-15T13:45:00"/>
    <x v="0"/>
    <d v="2026-07-15T16:38:00"/>
    <n v="90"/>
    <n v="121"/>
    <d v="2026-07-15T18:39:00"/>
    <d v="2026-07-15T19:07:00"/>
    <s v="Drop-off"/>
    <n v="670"/>
    <n v="100"/>
    <x v="0"/>
    <n v="0"/>
    <n v="173.00000000861473"/>
    <n v="322.00000000186265"/>
    <n v="31"/>
    <m/>
    <m/>
  </r>
  <r>
    <x v="70"/>
    <x v="2"/>
    <d v="2026-07-15T12:50:00"/>
    <x v="0"/>
    <d v="2026-07-15T15:05:00"/>
    <n v="240"/>
    <n v="209"/>
    <d v="2026-07-15T20:04:00"/>
    <d v="2026-07-15T20:40:00"/>
    <s v="Drop-off"/>
    <n v="1070"/>
    <n v="275"/>
    <x v="1"/>
    <n v="90"/>
    <n v="135"/>
    <n v="470.00000000232831"/>
    <n v="-31"/>
    <m/>
    <m/>
  </r>
  <r>
    <x v="71"/>
    <x v="0"/>
    <d v="2026-07-15T09:50:00"/>
    <x v="2"/>
    <d v="2026-07-15T11:15:00"/>
    <n v="90"/>
    <n v="114"/>
    <d v="2026-07-15T13:09:00"/>
    <d v="2026-07-15T13:53:00"/>
    <s v="Loaner"/>
    <n v="303"/>
    <n v="75"/>
    <x v="0"/>
    <n v="0"/>
    <n v="85.000000004656613"/>
    <n v="243.00000000628643"/>
    <n v="24"/>
    <m/>
    <m/>
  </r>
  <r>
    <x v="72"/>
    <x v="1"/>
    <d v="2026-07-16T09:45:00"/>
    <x v="0"/>
    <d v="2026-07-16T10:52:00"/>
    <n v="90"/>
    <n v="96"/>
    <d v="2026-07-16T13:28:00"/>
    <d v="2026-07-16T14:09:00"/>
    <s v="Waiter"/>
    <n v="545"/>
    <n v="50"/>
    <x v="1"/>
    <n v="60"/>
    <n v="66.999999998370185"/>
    <n v="264.00000000139698"/>
    <n v="6"/>
    <m/>
    <m/>
  </r>
  <r>
    <x v="73"/>
    <x v="1"/>
    <d v="2026-07-16T10:10:00"/>
    <x v="2"/>
    <d v="2026-07-16T10:57:00"/>
    <n v="90"/>
    <n v="133"/>
    <d v="2026-07-16T13:40:00"/>
    <d v="2026-07-16T13:59:00"/>
    <s v="Loaner"/>
    <n v="619"/>
    <n v="0"/>
    <x v="1"/>
    <n v="30"/>
    <n v="47.000000006519258"/>
    <n v="229.00000000256114"/>
    <n v="43"/>
    <m/>
    <m/>
  </r>
  <r>
    <x v="74"/>
    <x v="2"/>
    <d v="2026-07-16T08:10:00"/>
    <x v="3"/>
    <d v="2026-07-16T09:43:00"/>
    <n v="150"/>
    <n v="142"/>
    <d v="2026-07-16T14:35:00"/>
    <d v="2026-07-16T15:05:00"/>
    <s v="Drop-off"/>
    <n v="632"/>
    <n v="200"/>
    <x v="1"/>
    <n v="150"/>
    <n v="92.999999999301508"/>
    <n v="414.99999999068677"/>
    <n v="-8"/>
    <m/>
    <m/>
  </r>
  <r>
    <x v="75"/>
    <x v="2"/>
    <d v="2026-07-16T13:00:00"/>
    <x v="3"/>
    <d v="2026-07-16T15:10:00"/>
    <n v="120"/>
    <n v="109"/>
    <d v="2026-07-16T18:14:00"/>
    <d v="2026-07-16T18:29:00"/>
    <s v="Drop-off"/>
    <n v="1250"/>
    <n v="75"/>
    <x v="1"/>
    <n v="75"/>
    <n v="130.00000000465661"/>
    <n v="329.00000000372529"/>
    <n v="-11"/>
    <m/>
    <m/>
  </r>
  <r>
    <x v="76"/>
    <x v="2"/>
    <d v="2026-07-16T08:50:00"/>
    <x v="0"/>
    <d v="2026-07-16T10:09:00"/>
    <n v="150"/>
    <n v="227"/>
    <d v="2026-07-16T13:56:00"/>
    <d v="2026-07-16T14:15:00"/>
    <s v="Loaner"/>
    <n v="850"/>
    <n v="50"/>
    <x v="0"/>
    <n v="0"/>
    <n v="79.000000006053597"/>
    <n v="325.00000000116415"/>
    <n v="77"/>
    <m/>
    <m/>
  </r>
  <r>
    <x v="77"/>
    <x v="2"/>
    <d v="2026-07-16T08:15:00"/>
    <x v="0"/>
    <d v="2026-07-16T10:15:00"/>
    <n v="240"/>
    <n v="286"/>
    <d v="2026-07-16T15:01:00"/>
    <d v="2026-07-16T15:48:00"/>
    <s v="Loaner"/>
    <n v="1184"/>
    <n v="200"/>
    <x v="0"/>
    <n v="0"/>
    <n v="120.00000000349246"/>
    <n v="452.99999999930151"/>
    <n v="46"/>
    <m/>
    <m/>
  </r>
  <r>
    <x v="78"/>
    <x v="2"/>
    <d v="2026-07-16T07:50:00"/>
    <x v="2"/>
    <d v="2026-07-16T09:00:00"/>
    <n v="240"/>
    <n v="344"/>
    <d v="2026-07-16T14:44:00"/>
    <d v="2026-07-16T15:21:00"/>
    <s v="Drop-off"/>
    <n v="1151"/>
    <n v="275"/>
    <x v="0"/>
    <n v="0"/>
    <n v="69.999999997671694"/>
    <n v="450.99999999278225"/>
    <n v="104"/>
    <m/>
    <m/>
  </r>
  <r>
    <x v="79"/>
    <x v="0"/>
    <d v="2026-07-16T11:50:00"/>
    <x v="0"/>
    <d v="2026-07-16T13:14:00"/>
    <n v="90"/>
    <n v="107"/>
    <d v="2026-07-16T15:01:00"/>
    <d v="2026-07-16T15:29:00"/>
    <s v="Waiter"/>
    <n v="271"/>
    <n v="0"/>
    <x v="0"/>
    <n v="0"/>
    <n v="84.000000001396984"/>
    <n v="219.00000000139698"/>
    <n v="17"/>
    <m/>
    <m/>
  </r>
  <r>
    <x v="80"/>
    <x v="1"/>
    <d v="2026-07-16T11:30:00"/>
    <x v="0"/>
    <d v="2026-07-16T12:33:00"/>
    <n v="120"/>
    <n v="178"/>
    <d v="2026-07-16T15:31:00"/>
    <d v="2026-07-16T16:03:00"/>
    <s v="Loaner"/>
    <n v="496"/>
    <n v="50"/>
    <x v="0"/>
    <n v="0"/>
    <n v="63.000000006286427"/>
    <n v="272.99999999930151"/>
    <n v="58"/>
    <m/>
    <m/>
  </r>
  <r>
    <x v="81"/>
    <x v="2"/>
    <d v="2026-07-17T08:10:00"/>
    <x v="2"/>
    <d v="2026-07-17T09:39:00"/>
    <n v="90"/>
    <n v="69"/>
    <d v="2026-07-17T10:48:00"/>
    <d v="2026-07-17T11:21:00"/>
    <s v="Drop-off"/>
    <n v="1001"/>
    <n v="0"/>
    <x v="0"/>
    <n v="0"/>
    <n v="88.999999996740371"/>
    <n v="190.9999999939464"/>
    <n v="-21"/>
    <m/>
    <m/>
  </r>
  <r>
    <x v="82"/>
    <x v="0"/>
    <d v="2026-07-17T09:40:00"/>
    <x v="1"/>
    <d v="2026-07-17T10:07:00"/>
    <n v="60"/>
    <n v="73"/>
    <d v="2026-07-17T11:20:00"/>
    <d v="2026-07-17T11:47:00"/>
    <s v="Drop-off"/>
    <n v="273"/>
    <n v="0"/>
    <x v="0"/>
    <n v="0"/>
    <n v="26.999999993713573"/>
    <n v="126.99999999487773"/>
    <n v="13"/>
    <m/>
    <m/>
  </r>
  <r>
    <x v="83"/>
    <x v="0"/>
    <d v="2026-07-17T12:30:00"/>
    <x v="1"/>
    <d v="2026-07-17T12:52:00"/>
    <n v="75"/>
    <n v="90"/>
    <d v="2026-07-17T15:22:00"/>
    <d v="2026-07-17T15:46:00"/>
    <s v="Drop-off"/>
    <n v="299"/>
    <n v="0"/>
    <x v="1"/>
    <n v="60"/>
    <n v="21.999999998370185"/>
    <n v="195.99999999976717"/>
    <n v="15"/>
    <m/>
    <m/>
  </r>
  <r>
    <x v="84"/>
    <x v="2"/>
    <d v="2026-07-17T11:40:00"/>
    <x v="0"/>
    <d v="2026-07-17T12:31:00"/>
    <n v="180"/>
    <n v="199"/>
    <d v="2026-07-17T17:20:00"/>
    <d v="2026-07-17T18:07:00"/>
    <s v="Drop-off"/>
    <n v="927"/>
    <n v="175"/>
    <x v="1"/>
    <n v="90"/>
    <n v="50.999999998603016"/>
    <n v="387.00000000419095"/>
    <n v="19"/>
    <m/>
    <m/>
  </r>
  <r>
    <x v="85"/>
    <x v="0"/>
    <d v="2026-07-17T09:50:00"/>
    <x v="0"/>
    <d v="2026-07-17T10:44:00"/>
    <n v="75"/>
    <n v="84"/>
    <d v="2026-07-17T12:08:00"/>
    <d v="2026-07-17T12:58:00"/>
    <s v="Drop-off"/>
    <n v="236"/>
    <n v="0"/>
    <x v="0"/>
    <n v="0"/>
    <n v="54.000000008381903"/>
    <n v="188.00000000512227"/>
    <n v="9"/>
    <m/>
    <m/>
  </r>
  <r>
    <x v="86"/>
    <x v="1"/>
    <d v="2026-07-17T09:45:00"/>
    <x v="0"/>
    <d v="2026-07-17T10:24:00"/>
    <n v="60"/>
    <n v="62"/>
    <d v="2026-07-17T11:26:00"/>
    <d v="2026-07-17T12:10:00"/>
    <s v="Waiter"/>
    <n v="399"/>
    <n v="0"/>
    <x v="0"/>
    <n v="0"/>
    <n v="39.000000001396984"/>
    <n v="145.00000000116415"/>
    <n v="2"/>
    <m/>
    <m/>
  </r>
  <r>
    <x v="87"/>
    <x v="2"/>
    <d v="2026-07-17T13:45:00"/>
    <x v="1"/>
    <d v="2026-07-17T15:28:00"/>
    <n v="120"/>
    <n v="172"/>
    <d v="2026-07-17T18:20:00"/>
    <d v="2026-07-17T19:01:00"/>
    <s v="Loaner"/>
    <n v="1220"/>
    <n v="100"/>
    <x v="0"/>
    <n v="0"/>
    <n v="103.00000000046566"/>
    <n v="316.00000000325963"/>
    <n v="52"/>
    <m/>
    <m/>
  </r>
  <r>
    <x v="88"/>
    <x v="1"/>
    <d v="2026-07-17T07:40:00"/>
    <x v="0"/>
    <d v="2026-07-17T08:45:00"/>
    <n v="90"/>
    <n v="115"/>
    <d v="2026-07-17T10:40:00"/>
    <d v="2026-07-17T11:12:00"/>
    <s v="Waiter"/>
    <n v="701"/>
    <n v="0"/>
    <x v="0"/>
    <n v="0"/>
    <n v="65.000000002328306"/>
    <n v="211.99999999953434"/>
    <n v="25"/>
    <m/>
    <m/>
  </r>
  <r>
    <x v="89"/>
    <x v="0"/>
    <d v="2026-07-17T08:50:00"/>
    <x v="0"/>
    <d v="2026-07-17T09:45:00"/>
    <n v="60"/>
    <n v="55"/>
    <d v="2026-07-17T11:10:00"/>
    <d v="2026-07-17T11:41:00"/>
    <s v="Waiter"/>
    <n v="332"/>
    <n v="0"/>
    <x v="1"/>
    <n v="30"/>
    <n v="55.000000001164153"/>
    <n v="171.00000000209548"/>
    <n v="-5"/>
    <m/>
    <m/>
  </r>
  <r>
    <x v="90"/>
    <x v="1"/>
    <d v="2026-07-20T09:10:00"/>
    <x v="2"/>
    <d v="2026-07-20T10:11:00"/>
    <n v="120"/>
    <n v="104"/>
    <d v="2026-07-20T11:55:00"/>
    <d v="2026-07-20T12:14:00"/>
    <s v="Drop-off"/>
    <n v="469"/>
    <n v="0"/>
    <x v="0"/>
    <n v="0"/>
    <n v="60.999999999767169"/>
    <n v="184.00000000256114"/>
    <n v="-16"/>
    <m/>
    <m/>
  </r>
  <r>
    <x v="91"/>
    <x v="2"/>
    <d v="2026-07-20T09:15:00"/>
    <x v="2"/>
    <d v="2026-07-20T10:37:00"/>
    <n v="240"/>
    <n v="235"/>
    <d v="2026-07-20T14:32:00"/>
    <d v="2026-07-20T14:43:00"/>
    <s v="Waiter"/>
    <n v="728"/>
    <n v="50"/>
    <x v="0"/>
    <n v="0"/>
    <n v="82.000000005355105"/>
    <n v="328.00000000046566"/>
    <n v="-5"/>
    <m/>
    <m/>
  </r>
  <r>
    <x v="92"/>
    <x v="1"/>
    <d v="2026-07-20T09:40:00"/>
    <x v="0"/>
    <d v="2026-07-20T10:21:00"/>
    <n v="90"/>
    <n v="126"/>
    <d v="2026-07-20T15:27:00"/>
    <d v="2026-07-20T16:05:00"/>
    <s v="Loaner"/>
    <n v="408"/>
    <n v="175"/>
    <x v="1"/>
    <n v="180"/>
    <n v="40.999999997438863"/>
    <n v="384.99999999767169"/>
    <n v="36"/>
    <m/>
    <m/>
  </r>
  <r>
    <x v="93"/>
    <x v="2"/>
    <d v="2026-07-20T09:00:00"/>
    <x v="1"/>
    <d v="2026-07-20T10:28:00"/>
    <n v="240"/>
    <n v="294"/>
    <d v="2026-07-20T15:52:00"/>
    <d v="2026-07-20T16:05:00"/>
    <s v="Drop-off"/>
    <n v="1019"/>
    <n v="250"/>
    <x v="1"/>
    <n v="30"/>
    <n v="88.000000003958121"/>
    <n v="425.00000000232831"/>
    <n v="54"/>
    <m/>
    <m/>
  </r>
  <r>
    <x v="94"/>
    <x v="2"/>
    <d v="2026-07-20T12:10:00"/>
    <x v="2"/>
    <d v="2026-07-20T14:17:00"/>
    <n v="150"/>
    <n v="178"/>
    <d v="2026-07-20T19:15:00"/>
    <d v="2026-07-20T19:49:00"/>
    <s v="Loaner"/>
    <n v="1189"/>
    <n v="300"/>
    <x v="1"/>
    <n v="120"/>
    <n v="126.99999999487773"/>
    <n v="458.99999999790452"/>
    <n v="28"/>
    <m/>
    <m/>
  </r>
  <r>
    <x v="95"/>
    <x v="2"/>
    <d v="2026-07-20T08:10:00"/>
    <x v="2"/>
    <d v="2026-07-20T10:32:00"/>
    <n v="240"/>
    <n v="283"/>
    <d v="2026-07-20T15:15:00"/>
    <d v="2026-07-20T15:39:00"/>
    <s v="Loaner"/>
    <n v="770"/>
    <n v="250"/>
    <x v="0"/>
    <n v="0"/>
    <n v="141.99999999138527"/>
    <n v="448.99999999674037"/>
    <n v="43"/>
    <m/>
    <m/>
  </r>
  <r>
    <x v="96"/>
    <x v="2"/>
    <d v="2026-07-20T10:45:00"/>
    <x v="3"/>
    <d v="2026-07-20T12:22:00"/>
    <n v="150"/>
    <n v="219"/>
    <d v="2026-07-20T16:01:00"/>
    <d v="2026-07-20T16:16:00"/>
    <s v="Waiter"/>
    <n v="1035"/>
    <n v="125"/>
    <x v="0"/>
    <n v="0"/>
    <n v="97.000000001862645"/>
    <n v="330.99999999976717"/>
    <n v="69"/>
    <m/>
    <m/>
  </r>
  <r>
    <x v="97"/>
    <x v="2"/>
    <d v="2026-07-20T08:00:00"/>
    <x v="1"/>
    <d v="2026-07-20T10:01:00"/>
    <n v="240"/>
    <n v="253"/>
    <d v="2026-07-20T16:44:00"/>
    <d v="2026-07-20T17:16:00"/>
    <s v="Drop-off"/>
    <n v="887"/>
    <n v="225"/>
    <x v="1"/>
    <n v="150"/>
    <n v="120.99999999627471"/>
    <n v="555.99999999976717"/>
    <n v="13"/>
    <m/>
    <m/>
  </r>
  <r>
    <x v="98"/>
    <x v="2"/>
    <d v="2026-07-21T14:20:00"/>
    <x v="0"/>
    <d v="2026-07-21T15:38:00"/>
    <n v="180"/>
    <n v="220"/>
    <d v="2026-07-21T19:18:00"/>
    <d v="2026-07-21T19:45:00"/>
    <s v="Waiter"/>
    <n v="1119"/>
    <n v="100"/>
    <x v="0"/>
    <n v="0"/>
    <n v="78.000000002793968"/>
    <n v="325.00000000116415"/>
    <n v="40"/>
    <m/>
    <m/>
  </r>
  <r>
    <x v="99"/>
    <x v="2"/>
    <d v="2026-07-21T13:00:00"/>
    <x v="1"/>
    <d v="2026-07-21T13:53:00"/>
    <n v="150"/>
    <n v="141"/>
    <d v="2026-07-21T16:14:00"/>
    <d v="2026-07-21T16:43:00"/>
    <s v="Drop-off"/>
    <n v="734"/>
    <n v="0"/>
    <x v="0"/>
    <n v="0"/>
    <n v="53.000000005122274"/>
    <n v="223.00000000395812"/>
    <n v="-9"/>
    <m/>
    <m/>
  </r>
  <r>
    <x v="100"/>
    <x v="2"/>
    <d v="2026-07-21T08:15:00"/>
    <x v="1"/>
    <d v="2026-07-21T09:13:00"/>
    <n v="180"/>
    <n v="232"/>
    <d v="2026-07-21T13:05:00"/>
    <d v="2026-07-21T13:48:00"/>
    <s v="Loaner"/>
    <n v="581"/>
    <n v="125"/>
    <x v="0"/>
    <n v="0"/>
    <n v="58.000000000465661"/>
    <n v="332.99999999580905"/>
    <n v="52"/>
    <m/>
    <m/>
  </r>
  <r>
    <x v="101"/>
    <x v="2"/>
    <d v="2026-07-21T10:30:00"/>
    <x v="1"/>
    <d v="2026-07-21T12:36:00"/>
    <n v="240"/>
    <n v="307"/>
    <d v="2026-07-21T18:43:00"/>
    <d v="2026-07-21T19:03:00"/>
    <s v="Waiter"/>
    <n v="636"/>
    <n v="200"/>
    <x v="1"/>
    <n v="60"/>
    <n v="126.00000000209548"/>
    <n v="512.99999999580905"/>
    <n v="67"/>
    <m/>
    <m/>
  </r>
  <r>
    <x v="102"/>
    <x v="2"/>
    <d v="2026-07-21T12:50:00"/>
    <x v="3"/>
    <d v="2026-07-21T14:45:00"/>
    <n v="120"/>
    <n v="162"/>
    <d v="2026-07-21T20:27:00"/>
    <d v="2026-07-21T21:10:00"/>
    <s v="Waiter"/>
    <n v="840"/>
    <n v="225"/>
    <x v="1"/>
    <n v="180"/>
    <n v="115.00000000814907"/>
    <n v="500.00000000582077"/>
    <n v="42"/>
    <m/>
    <m/>
  </r>
  <r>
    <x v="103"/>
    <x v="1"/>
    <d v="2026-07-21T07:00:00"/>
    <x v="0"/>
    <d v="2026-07-21T07:52:00"/>
    <n v="60"/>
    <n v="89"/>
    <d v="2026-07-21T09:21:00"/>
    <d v="2026-07-21T09:51:00"/>
    <s v="Waiter"/>
    <n v="741"/>
    <n v="0"/>
    <x v="0"/>
    <n v="0"/>
    <n v="52.000000001862645"/>
    <n v="171.00000000209548"/>
    <n v="29"/>
    <m/>
    <m/>
  </r>
  <r>
    <x v="104"/>
    <x v="2"/>
    <d v="2026-07-21T11:15:00"/>
    <x v="0"/>
    <d v="2026-07-21T13:35:00"/>
    <n v="240"/>
    <n v="274"/>
    <d v="2026-07-21T18:54:00"/>
    <d v="2026-07-21T19:29:00"/>
    <s v="Waiter"/>
    <n v="1234"/>
    <n v="250"/>
    <x v="1"/>
    <n v="45"/>
    <n v="139.99999999534339"/>
    <n v="493.99999999674037"/>
    <n v="34"/>
    <m/>
    <m/>
  </r>
  <r>
    <x v="105"/>
    <x v="1"/>
    <d v="2026-07-21T10:45:00"/>
    <x v="1"/>
    <d v="2026-07-21T12:13:00"/>
    <n v="120"/>
    <n v="175"/>
    <d v="2026-07-21T15:08:00"/>
    <d v="2026-07-21T15:19:00"/>
    <s v="Waiter"/>
    <n v="498"/>
    <n v="75"/>
    <x v="0"/>
    <n v="0"/>
    <n v="88.000000003958121"/>
    <n v="274.00000000256114"/>
    <n v="55"/>
    <m/>
    <m/>
  </r>
  <r>
    <x v="106"/>
    <x v="1"/>
    <d v="2026-07-21T12:40:00"/>
    <x v="0"/>
    <d v="2026-07-21T13:46:00"/>
    <n v="60"/>
    <n v="48"/>
    <d v="2026-07-21T14:34:00"/>
    <d v="2026-07-21T15:03:00"/>
    <s v="Drop-off"/>
    <n v="390"/>
    <n v="0"/>
    <x v="0"/>
    <n v="0"/>
    <n v="65.999999995110556"/>
    <n v="142.9999999946449"/>
    <n v="-12"/>
    <m/>
    <m/>
  </r>
  <r>
    <x v="107"/>
    <x v="0"/>
    <d v="2026-07-22T08:10:00"/>
    <x v="3"/>
    <d v="2026-07-22T09:29:00"/>
    <n v="45"/>
    <n v="51"/>
    <d v="2026-07-22T12:20:00"/>
    <d v="2026-07-22T12:52:00"/>
    <s v="Drop-off"/>
    <n v="310"/>
    <n v="100"/>
    <x v="1"/>
    <n v="120"/>
    <n v="78.999999995576218"/>
    <n v="281.99999999720603"/>
    <n v="6"/>
    <m/>
    <m/>
  </r>
  <r>
    <x v="108"/>
    <x v="2"/>
    <d v="2026-07-22T08:20:00"/>
    <x v="0"/>
    <d v="2026-07-22T10:37:00"/>
    <n v="150"/>
    <n v="177"/>
    <d v="2026-07-22T13:34:00"/>
    <d v="2026-07-22T14:24:00"/>
    <s v="Drop-off"/>
    <n v="1327"/>
    <n v="150"/>
    <x v="0"/>
    <n v="0"/>
    <n v="137.00000000651926"/>
    <n v="364.00000000256114"/>
    <n v="27"/>
    <m/>
    <m/>
  </r>
  <r>
    <x v="109"/>
    <x v="2"/>
    <d v="2026-07-22T12:40:00"/>
    <x v="2"/>
    <d v="2026-07-22T14:16:00"/>
    <n v="150"/>
    <n v="185"/>
    <d v="2026-07-22T17:21:00"/>
    <d v="2026-07-22T18:11:00"/>
    <s v="Loaner"/>
    <n v="1000"/>
    <n v="150"/>
    <x v="0"/>
    <n v="0"/>
    <n v="95.999999998603016"/>
    <n v="330.99999999976717"/>
    <n v="35"/>
    <m/>
    <m/>
  </r>
  <r>
    <x v="110"/>
    <x v="2"/>
    <d v="2026-07-22T08:30:00"/>
    <x v="3"/>
    <d v="2026-07-22T10:19:00"/>
    <n v="90"/>
    <n v="81"/>
    <d v="2026-07-22T12:25:00"/>
    <d v="2026-07-22T13:14:00"/>
    <s v="Loaner"/>
    <n v="1210"/>
    <n v="100"/>
    <x v="1"/>
    <n v="45"/>
    <n v="108.99999999906868"/>
    <n v="284.00000000372529"/>
    <n v="-9"/>
    <m/>
    <m/>
  </r>
  <r>
    <x v="111"/>
    <x v="2"/>
    <d v="2026-07-22T13:00:00"/>
    <x v="3"/>
    <d v="2026-07-22T15:48:00"/>
    <n v="240"/>
    <n v="289"/>
    <d v="2026-07-22T20:37:00"/>
    <d v="2026-07-22T21:19:00"/>
    <s v="Waiter"/>
    <n v="742"/>
    <n v="200"/>
    <x v="0"/>
    <n v="0"/>
    <n v="168.00000000279397"/>
    <n v="499.00000000256114"/>
    <n v="49"/>
    <m/>
    <m/>
  </r>
  <r>
    <x v="112"/>
    <x v="1"/>
    <d v="2026-07-22T10:10:00"/>
    <x v="3"/>
    <d v="2026-07-22T11:31:00"/>
    <n v="60"/>
    <n v="72"/>
    <d v="2026-07-22T12:43:00"/>
    <d v="2026-07-22T13:03:00"/>
    <s v="Loaner"/>
    <n v="574"/>
    <n v="0"/>
    <x v="0"/>
    <n v="0"/>
    <n v="81.000000002095476"/>
    <n v="172.99999999813735"/>
    <n v="12"/>
    <m/>
    <m/>
  </r>
  <r>
    <x v="113"/>
    <x v="1"/>
    <d v="2026-07-22T11:45:00"/>
    <x v="1"/>
    <d v="2026-07-22T13:11:00"/>
    <n v="120"/>
    <n v="170"/>
    <d v="2026-07-22T16:01:00"/>
    <d v="2026-07-22T16:32:00"/>
    <s v="Loaner"/>
    <n v="673"/>
    <n v="50"/>
    <x v="0"/>
    <n v="0"/>
    <n v="85.999999997438863"/>
    <n v="286.99999999254942"/>
    <n v="50"/>
    <m/>
    <m/>
  </r>
  <r>
    <x v="114"/>
    <x v="2"/>
    <d v="2026-07-22T09:15:00"/>
    <x v="0"/>
    <d v="2026-07-22T12:43:00"/>
    <n v="240"/>
    <n v="289"/>
    <d v="2026-07-22T17:32:00"/>
    <d v="2026-07-22T17:47:00"/>
    <s v="Loaner"/>
    <n v="1221"/>
    <n v="275"/>
    <x v="0"/>
    <n v="0"/>
    <n v="208.00000000745058"/>
    <n v="512.0000000030268"/>
    <n v="49"/>
    <m/>
    <m/>
  </r>
  <r>
    <x v="115"/>
    <x v="1"/>
    <d v="2026-07-23T13:10:00"/>
    <x v="1"/>
    <d v="2026-07-23T14:50:00"/>
    <n v="90"/>
    <n v="126"/>
    <d v="2026-07-23T16:56:00"/>
    <d v="2026-07-23T17:25:00"/>
    <s v="Drop-off"/>
    <n v="535"/>
    <n v="50"/>
    <x v="0"/>
    <n v="0"/>
    <n v="100.00000000116415"/>
    <n v="255.00000000349246"/>
    <n v="36"/>
    <m/>
    <m/>
  </r>
  <r>
    <x v="116"/>
    <x v="2"/>
    <d v="2026-07-23T12:20:00"/>
    <x v="0"/>
    <d v="2026-07-23T13:29:00"/>
    <n v="120"/>
    <n v="194"/>
    <d v="2026-07-23T16:43:00"/>
    <d v="2026-07-23T17:27:00"/>
    <s v="Drop-off"/>
    <n v="653"/>
    <n v="100"/>
    <x v="0"/>
    <n v="0"/>
    <n v="68.999999994412065"/>
    <n v="306.99999999487773"/>
    <n v="74"/>
    <m/>
    <m/>
  </r>
  <r>
    <x v="117"/>
    <x v="0"/>
    <d v="2026-07-23T10:15:00"/>
    <x v="1"/>
    <d v="2026-07-23T10:40:00"/>
    <n v="60"/>
    <n v="74"/>
    <d v="2026-07-23T11:54:00"/>
    <d v="2026-07-23T12:43:00"/>
    <s v="Drop-off"/>
    <n v="226"/>
    <n v="0"/>
    <x v="0"/>
    <n v="0"/>
    <n v="24.999999997671694"/>
    <n v="148.00000000046566"/>
    <n v="14"/>
    <m/>
    <m/>
  </r>
  <r>
    <x v="118"/>
    <x v="0"/>
    <d v="2026-07-23T12:00:00"/>
    <x v="3"/>
    <d v="2026-07-23T12:43:00"/>
    <n v="60"/>
    <n v="41"/>
    <d v="2026-07-23T13:24:00"/>
    <d v="2026-07-23T14:08:00"/>
    <s v="Waiter"/>
    <n v="380"/>
    <n v="0"/>
    <x v="0"/>
    <n v="0"/>
    <n v="43.000000003958121"/>
    <n v="127.99999999813735"/>
    <n v="-19"/>
    <m/>
    <m/>
  </r>
  <r>
    <x v="119"/>
    <x v="1"/>
    <d v="2026-07-23T12:20:00"/>
    <x v="3"/>
    <d v="2026-07-23T13:51:00"/>
    <n v="120"/>
    <n v="117"/>
    <d v="2026-07-23T18:18:00"/>
    <d v="2026-07-23T19:00:00"/>
    <s v="Drop-off"/>
    <n v="586"/>
    <n v="175"/>
    <x v="1"/>
    <n v="150"/>
    <n v="90.99999999278225"/>
    <n v="399.99999999417923"/>
    <n v="-3"/>
    <m/>
    <m/>
  </r>
  <r>
    <x v="120"/>
    <x v="1"/>
    <d v="2026-07-23T14:15:00"/>
    <x v="2"/>
    <d v="2026-07-23T15:51:00"/>
    <n v="60"/>
    <n v="94"/>
    <d v="2026-07-23T17:25:00"/>
    <d v="2026-07-23T18:08:00"/>
    <s v="Drop-off"/>
    <n v="402"/>
    <n v="0"/>
    <x v="0"/>
    <n v="0"/>
    <n v="95.999999998603016"/>
    <n v="233.00000000512227"/>
    <n v="34"/>
    <m/>
    <m/>
  </r>
  <r>
    <x v="121"/>
    <x v="0"/>
    <d v="2026-07-23T08:30:00"/>
    <x v="3"/>
    <d v="2026-07-23T09:12:00"/>
    <n v="60"/>
    <n v="47"/>
    <d v="2026-07-23T11:14:00"/>
    <d v="2026-07-23T11:52:00"/>
    <s v="Drop-off"/>
    <n v="203"/>
    <n v="0"/>
    <x v="1"/>
    <n v="75"/>
    <n v="42.000000000698492"/>
    <n v="201.99999999837019"/>
    <n v="-13"/>
    <m/>
    <m/>
  </r>
  <r>
    <x v="122"/>
    <x v="1"/>
    <d v="2026-07-23T11:00:00"/>
    <x v="3"/>
    <d v="2026-07-23T12:05:00"/>
    <n v="90"/>
    <n v="100"/>
    <d v="2026-07-23T13:45:00"/>
    <d v="2026-07-23T14:01:00"/>
    <s v="Drop-off"/>
    <n v="464"/>
    <n v="0"/>
    <x v="0"/>
    <n v="0"/>
    <n v="64.999999991850927"/>
    <n v="180.99999999278225"/>
    <n v="10"/>
    <m/>
    <m/>
  </r>
  <r>
    <x v="123"/>
    <x v="2"/>
    <d v="2026-07-23T08:15:00"/>
    <x v="0"/>
    <d v="2026-07-23T10:34:00"/>
    <n v="180"/>
    <n v="211"/>
    <d v="2026-07-23T17:05:00"/>
    <d v="2026-07-23T17:43:00"/>
    <s v="Waiter"/>
    <n v="692"/>
    <n v="200"/>
    <x v="1"/>
    <n v="180"/>
    <n v="139.00000000256114"/>
    <n v="567.9999999969732"/>
    <n v="31"/>
    <m/>
    <m/>
  </r>
  <r>
    <x v="124"/>
    <x v="1"/>
    <d v="2026-07-24T13:45:00"/>
    <x v="0"/>
    <d v="2026-07-24T14:50:00"/>
    <n v="90"/>
    <n v="105"/>
    <d v="2026-07-24T16:35:00"/>
    <d v="2026-07-24T17:24:00"/>
    <s v="Loaner"/>
    <n v="564"/>
    <n v="0"/>
    <x v="0"/>
    <n v="0"/>
    <n v="65.000000002328306"/>
    <n v="219.00000000139698"/>
    <n v="15"/>
    <m/>
    <m/>
  </r>
  <r>
    <x v="125"/>
    <x v="0"/>
    <d v="2026-07-24T12:00:00"/>
    <x v="1"/>
    <d v="2026-07-24T12:24:00"/>
    <n v="60"/>
    <n v="65"/>
    <d v="2026-07-24T13:29:00"/>
    <d v="2026-07-24T14:18:00"/>
    <s v="Loaner"/>
    <n v="254"/>
    <n v="0"/>
    <x v="0"/>
    <n v="0"/>
    <n v="24.000000004889444"/>
    <n v="137.99999999930151"/>
    <n v="5"/>
    <m/>
    <m/>
  </r>
  <r>
    <x v="126"/>
    <x v="2"/>
    <d v="2026-07-24T08:10:00"/>
    <x v="3"/>
    <d v="2026-07-24T09:08:00"/>
    <n v="150"/>
    <n v="210"/>
    <d v="2026-07-24T12:38:00"/>
    <d v="2026-07-24T13:12:00"/>
    <s v="Waiter"/>
    <n v="1069"/>
    <n v="75"/>
    <x v="0"/>
    <n v="0"/>
    <n v="58.000000000465661"/>
    <n v="301.99999999953434"/>
    <n v="60"/>
    <m/>
    <m/>
  </r>
  <r>
    <x v="127"/>
    <x v="2"/>
    <d v="2026-07-24T10:30:00"/>
    <x v="1"/>
    <d v="2026-07-24T11:28:00"/>
    <n v="150"/>
    <n v="155"/>
    <d v="2026-07-24T14:03:00"/>
    <d v="2026-07-24T14:53:00"/>
    <s v="Drop-off"/>
    <n v="903"/>
    <n v="50"/>
    <x v="0"/>
    <n v="0"/>
    <n v="58.000000000465661"/>
    <n v="262.99999999813735"/>
    <n v="5"/>
    <m/>
    <m/>
  </r>
  <r>
    <x v="128"/>
    <x v="2"/>
    <d v="2026-07-24T10:15:00"/>
    <x v="0"/>
    <d v="2026-07-24T11:48:00"/>
    <n v="240"/>
    <n v="277"/>
    <d v="2026-07-24T19:25:00"/>
    <d v="2026-07-24T20:15:00"/>
    <s v="Drop-off"/>
    <n v="1347"/>
    <n v="150"/>
    <x v="1"/>
    <n v="180"/>
    <n v="92.999999999301508"/>
    <n v="599.99999999650754"/>
    <n v="37"/>
    <m/>
    <m/>
  </r>
  <r>
    <x v="129"/>
    <x v="1"/>
    <d v="2026-07-24T07:30:00"/>
    <x v="0"/>
    <d v="2026-07-24T08:10:00"/>
    <n v="60"/>
    <n v="57"/>
    <d v="2026-07-24T11:37:00"/>
    <d v="2026-07-24T12:21:00"/>
    <s v="Waiter"/>
    <n v="511"/>
    <n v="75"/>
    <x v="1"/>
    <n v="150"/>
    <n v="40.000000004656613"/>
    <n v="290.99999999511056"/>
    <n v="-3"/>
    <m/>
    <m/>
  </r>
  <r>
    <x v="130"/>
    <x v="2"/>
    <d v="2026-07-24T09:30:00"/>
    <x v="3"/>
    <d v="2026-07-24T11:43:00"/>
    <n v="90"/>
    <n v="91"/>
    <d v="2026-07-24T13:14:00"/>
    <d v="2026-07-24T13:49:00"/>
    <s v="Loaner"/>
    <n v="926"/>
    <n v="100"/>
    <x v="0"/>
    <n v="0"/>
    <n v="132.99999999348074"/>
    <n v="258.99999999557622"/>
    <n v="1"/>
    <m/>
    <m/>
  </r>
  <r>
    <x v="131"/>
    <x v="1"/>
    <d v="2026-07-24T10:15:00"/>
    <x v="3"/>
    <d v="2026-07-24T11:37:00"/>
    <n v="90"/>
    <n v="119"/>
    <d v="2026-07-24T13:36:00"/>
    <d v="2026-07-24T13:51:00"/>
    <s v="Drop-off"/>
    <n v="615"/>
    <n v="0"/>
    <x v="0"/>
    <n v="0"/>
    <n v="81.999999994877726"/>
    <n v="215.9999999916181"/>
    <n v="2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7" firstHeaderRow="1" firstDataRow="1" firstDataCol="1"/>
  <pivotFields count="19">
    <pivotField showAll="0"/>
    <pivotField axis="axisRow" showAll="0">
      <items count="4">
        <item x="1"/>
        <item x="0"/>
        <item x="2"/>
        <item t="default"/>
      </items>
    </pivotField>
    <pivotField numFmtId="164" showAll="0"/>
    <pivotField showAll="0"/>
    <pivotField numFmtId="164" showAll="0"/>
    <pivotField showAll="0"/>
    <pivotField showAll="0"/>
    <pivotField numFmtId="164" showAll="0"/>
    <pivotField numFmtId="164" showAll="0"/>
    <pivotField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ait to Tech (Minutes)" fld="1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E7" firstHeaderRow="0" firstDataRow="1" firstDataCol="1"/>
  <pivotFields count="19">
    <pivotField showAll="0"/>
    <pivotField axis="axisRow" showAll="0">
      <items count="4">
        <item x="1"/>
        <item x="0"/>
        <item x="2"/>
        <item t="default"/>
      </items>
    </pivotField>
    <pivotField numFmtId="164" showAll="0"/>
    <pivotField showAll="0"/>
    <pivotField numFmtId="164" showAll="0"/>
    <pivotField showAll="0"/>
    <pivotField showAll="0"/>
    <pivotField numFmtId="164" showAll="0"/>
    <pivotField numFmtId="164" showAll="0"/>
    <pivotField showAll="0"/>
    <pivotField numFmtId="165" showAll="0"/>
    <pivotField numFmtId="165"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Wait to Tech (Minutes)" fld="14" subtotal="average" baseField="1" baseItem="0"/>
    <dataField name="Average of Total Service Time (Minutes)" fld="15" subtotal="average" baseField="1" baseItem="0"/>
    <dataField name="Average of Parts Delay (min)" fld="13" subtotal="average" baseField="1" baseItem="0"/>
    <dataField name="Average of FRT Variance (Minutes)" fld="16" subtotal="average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D8" firstHeaderRow="0" firstDataRow="1" firstDataCol="1"/>
  <pivotFields count="19">
    <pivotField dataField="1"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numFmtId="164" showAll="0"/>
    <pivotField showAll="0"/>
    <pivotField showAll="0"/>
    <pivotField numFmtId="164" showAll="0"/>
    <pivotField numFmtId="164" showAll="0"/>
    <pivotField showAll="0"/>
    <pivotField numFmtId="165" showAll="0"/>
    <pivotField numFmtId="165"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O Number" fld="0" subtotal="count" baseField="3" baseItem="0"/>
    <dataField name="Average of Wait to Tech (Minutes)" fld="14" subtotal="average" baseField="3" baseItem="0"/>
    <dataField name="Average of FRT Variance (Minutes)" fld="16" subtotal="average" baseField="3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20" firstHeaderRow="1" firstDataRow="1" firstDataCol="1"/>
  <pivotFields count="19">
    <pivotField dataField="1" showAll="0">
      <items count="1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axis="axisRow" showAll="0">
      <items count="4">
        <item x="1"/>
        <item x="0"/>
        <item x="2"/>
        <item t="default"/>
      </items>
    </pivotField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numFmtId="164" showAll="0"/>
    <pivotField showAll="0"/>
    <pivotField showAll="0"/>
    <pivotField numFmtId="164" showAll="0"/>
    <pivotField numFmtId="164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RO Number" fld="0" subtotal="count" baseField="0" baseItem="21033709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13" firstHeaderRow="1" firstDataRow="1" firstDataCol="1"/>
  <pivotFields count="19">
    <pivotField dataField="1" showAll="0"/>
    <pivotField axis="axisRow" showAll="0">
      <items count="4">
        <item x="1"/>
        <item x="0"/>
        <item x="2"/>
        <item t="default"/>
      </items>
    </pivotField>
    <pivotField numFmtId="164" showAll="0"/>
    <pivotField showAll="0"/>
    <pivotField numFmtId="164" showAll="0"/>
    <pivotField showAll="0"/>
    <pivotField showAll="0"/>
    <pivotField numFmtId="164" showAll="0"/>
    <pivotField numFmtId="164" showAll="0"/>
    <pivotField showAll="0"/>
    <pivotField numFmtId="165" showAll="0"/>
    <pivotField numFmtId="165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"/>
    <field x="1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ount of RO Number" fld="0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ServiceOrdersTable" displayName="ServiceOrdersTable" ref="A1:S133" totalsRowShown="0">
  <tableColumns count="19">
    <tableColumn id="1" name="RO Number"/>
    <tableColumn id="2" name="Service Type"/>
    <tableColumn id="3" name="Check-in Time"/>
    <tableColumn id="4" name="Tech Assigned"/>
    <tableColumn id="5" name="Tech Start Time"/>
    <tableColumn id="6" name="FRT (min)"/>
    <tableColumn id="7" name="Actual Tech Time (min)"/>
    <tableColumn id="8" name="Repair Complete Time"/>
    <tableColumn id="9" name="Check-out Time"/>
    <tableColumn id="10" name="Transportation Type"/>
    <tableColumn id="11" name="Revenue ($)"/>
    <tableColumn id="12" name="Goodwill ($)"/>
    <tableColumn id="13" name="Parts Available"/>
    <tableColumn id="14" name="Parts Delay (min)"/>
    <tableColumn id="15" name="Wait to Tech (Minutes)" dataDxfId="4">
      <calculatedColumnFormula>(E2-C2)*1440</calculatedColumnFormula>
    </tableColumn>
    <tableColumn id="16" name="Total Service Time (Minutes)" dataDxfId="3">
      <calculatedColumnFormula>(I2-C2)*1440</calculatedColumnFormula>
    </tableColumn>
    <tableColumn id="17" name="FRT Variance (Minutes)" dataDxfId="2">
      <calculatedColumnFormula>(G2-F2)</calculatedColumnFormula>
    </tableColumn>
    <tableColumn id="18" name="Column1" dataDxfId="1"/>
    <tableColumn id="19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K8" sqref="K8"/>
    </sheetView>
  </sheetViews>
  <sheetFormatPr defaultRowHeight="13.8"/>
  <cols>
    <col min="1" max="1" width="13.09765625" bestFit="1" customWidth="1"/>
    <col min="2" max="2" width="30.8984375" bestFit="1" customWidth="1"/>
  </cols>
  <sheetData>
    <row r="3" spans="1:2">
      <c r="A3" s="12" t="s">
        <v>69</v>
      </c>
      <c r="B3" t="s">
        <v>71</v>
      </c>
    </row>
    <row r="4" spans="1:2">
      <c r="A4" s="13" t="s">
        <v>19</v>
      </c>
      <c r="B4" s="11">
        <v>77.545454544861883</v>
      </c>
    </row>
    <row r="5" spans="1:2">
      <c r="A5" s="13" t="s">
        <v>14</v>
      </c>
      <c r="B5" s="11">
        <v>49.062500000472937</v>
      </c>
    </row>
    <row r="6" spans="1:2">
      <c r="A6" s="13" t="s">
        <v>25</v>
      </c>
      <c r="B6" s="11">
        <v>113.89552238838635</v>
      </c>
    </row>
    <row r="7" spans="1:2">
      <c r="A7" s="13" t="s">
        <v>70</v>
      </c>
      <c r="B7" s="11">
        <v>89.090909091041382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"/>
  <sheetViews>
    <sheetView workbookViewId="0">
      <selection activeCell="A3" sqref="A3"/>
    </sheetView>
  </sheetViews>
  <sheetFormatPr defaultRowHeight="13.8"/>
  <cols>
    <col min="1" max="1" width="13.09765625" bestFit="1" customWidth="1"/>
    <col min="2" max="2" width="30.8984375" bestFit="1" customWidth="1"/>
    <col min="3" max="3" width="36.59765625" bestFit="1" customWidth="1"/>
    <col min="4" max="4" width="26.3984375" customWidth="1"/>
    <col min="5" max="5" width="31.796875" bestFit="1" customWidth="1"/>
  </cols>
  <sheetData>
    <row r="3" spans="1:5">
      <c r="A3" s="12" t="s">
        <v>69</v>
      </c>
      <c r="B3" t="s">
        <v>71</v>
      </c>
      <c r="C3" t="s">
        <v>72</v>
      </c>
      <c r="D3" t="s">
        <v>73</v>
      </c>
      <c r="E3" t="s">
        <v>74</v>
      </c>
    </row>
    <row r="4" spans="1:5">
      <c r="A4" s="13" t="s">
        <v>19</v>
      </c>
      <c r="B4" s="11">
        <v>77.545454544861883</v>
      </c>
      <c r="C4" s="11">
        <v>252.93939393839207</v>
      </c>
      <c r="D4" s="11">
        <v>24.09090909090909</v>
      </c>
      <c r="E4" s="11">
        <v>25.393939393939394</v>
      </c>
    </row>
    <row r="5" spans="1:5">
      <c r="A5" s="13" t="s">
        <v>14</v>
      </c>
      <c r="B5" s="11">
        <v>49.062500000472937</v>
      </c>
      <c r="C5" s="11">
        <v>162.53125000035652</v>
      </c>
      <c r="D5" s="11">
        <v>14.0625</v>
      </c>
      <c r="E5" s="11">
        <v>5.90625</v>
      </c>
    </row>
    <row r="6" spans="1:5">
      <c r="A6" s="13" t="s">
        <v>25</v>
      </c>
      <c r="B6" s="11">
        <v>113.89552238838635</v>
      </c>
      <c r="C6" s="11">
        <v>374.94029850721597</v>
      </c>
      <c r="D6" s="11">
        <v>39.626865671641788</v>
      </c>
      <c r="E6" s="11">
        <v>23.343283582089551</v>
      </c>
    </row>
    <row r="7" spans="1:5">
      <c r="A7" s="13" t="s">
        <v>70</v>
      </c>
      <c r="B7" s="11">
        <v>89.090909091041382</v>
      </c>
      <c r="C7" s="11">
        <v>292.94696969668041</v>
      </c>
      <c r="D7" s="11">
        <v>29.545454545454547</v>
      </c>
      <c r="E7" s="11">
        <v>19.628787878787879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B22" sqref="B22"/>
    </sheetView>
  </sheetViews>
  <sheetFormatPr defaultRowHeight="13.8"/>
  <cols>
    <col min="1" max="1" width="13.09765625" bestFit="1" customWidth="1"/>
    <col min="2" max="2" width="19.19921875" customWidth="1"/>
    <col min="3" max="3" width="30.8984375" bestFit="1" customWidth="1"/>
    <col min="4" max="4" width="31.796875" bestFit="1" customWidth="1"/>
  </cols>
  <sheetData>
    <row r="3" spans="1:4">
      <c r="A3" s="12" t="s">
        <v>69</v>
      </c>
      <c r="B3" t="s">
        <v>75</v>
      </c>
      <c r="C3" t="s">
        <v>71</v>
      </c>
      <c r="D3" t="s">
        <v>74</v>
      </c>
    </row>
    <row r="4" spans="1:4">
      <c r="A4" s="13" t="s">
        <v>15</v>
      </c>
      <c r="B4" s="11">
        <v>59</v>
      </c>
      <c r="C4" s="11">
        <v>90.355932204194872</v>
      </c>
      <c r="D4" s="11">
        <v>20.050847457627118</v>
      </c>
    </row>
    <row r="5" spans="1:4">
      <c r="A5" s="13" t="s">
        <v>22</v>
      </c>
      <c r="B5" s="11">
        <v>27</v>
      </c>
      <c r="C5" s="11">
        <v>93.629629629043237</v>
      </c>
      <c r="D5" s="11">
        <v>18.037037037037038</v>
      </c>
    </row>
    <row r="6" spans="1:4">
      <c r="A6" s="13" t="s">
        <v>20</v>
      </c>
      <c r="B6" s="11">
        <v>25</v>
      </c>
      <c r="C6" s="11">
        <v>72.799999999254936</v>
      </c>
      <c r="D6" s="11">
        <v>19.36</v>
      </c>
    </row>
    <row r="7" spans="1:4">
      <c r="A7" s="13" t="s">
        <v>21</v>
      </c>
      <c r="B7" s="11">
        <v>21</v>
      </c>
      <c r="C7" s="11">
        <v>99.09523809544875</v>
      </c>
      <c r="D7" s="11">
        <v>20.80952380952381</v>
      </c>
    </row>
    <row r="8" spans="1:4">
      <c r="A8" s="13" t="s">
        <v>70</v>
      </c>
      <c r="B8" s="11">
        <v>132</v>
      </c>
      <c r="C8" s="11">
        <v>89.090909091041382</v>
      </c>
      <c r="D8" s="11">
        <v>19.628787878787879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" sqref="A3"/>
    </sheetView>
  </sheetViews>
  <sheetFormatPr defaultRowHeight="13.8"/>
  <cols>
    <col min="1" max="1" width="14.8984375" customWidth="1"/>
    <col min="2" max="2" width="19.19921875" bestFit="1" customWidth="1"/>
  </cols>
  <sheetData>
    <row r="3" spans="1:2">
      <c r="A3" s="12" t="s">
        <v>69</v>
      </c>
      <c r="B3" t="s">
        <v>75</v>
      </c>
    </row>
    <row r="4" spans="1:2">
      <c r="A4" s="13" t="s">
        <v>15</v>
      </c>
      <c r="B4" s="11">
        <v>59</v>
      </c>
    </row>
    <row r="5" spans="1:2">
      <c r="A5" s="14" t="s">
        <v>19</v>
      </c>
      <c r="B5" s="11">
        <v>19</v>
      </c>
    </row>
    <row r="6" spans="1:2">
      <c r="A6" s="14" t="s">
        <v>14</v>
      </c>
      <c r="B6" s="11">
        <v>14</v>
      </c>
    </row>
    <row r="7" spans="1:2">
      <c r="A7" s="14" t="s">
        <v>25</v>
      </c>
      <c r="B7" s="11">
        <v>26</v>
      </c>
    </row>
    <row r="8" spans="1:2">
      <c r="A8" s="13" t="s">
        <v>22</v>
      </c>
      <c r="B8" s="11">
        <v>27</v>
      </c>
    </row>
    <row r="9" spans="1:2">
      <c r="A9" s="14" t="s">
        <v>19</v>
      </c>
      <c r="B9" s="11">
        <v>7</v>
      </c>
    </row>
    <row r="10" spans="1:2">
      <c r="A10" s="14" t="s">
        <v>14</v>
      </c>
      <c r="B10" s="11">
        <v>5</v>
      </c>
    </row>
    <row r="11" spans="1:2">
      <c r="A11" s="14" t="s">
        <v>25</v>
      </c>
      <c r="B11" s="11">
        <v>15</v>
      </c>
    </row>
    <row r="12" spans="1:2">
      <c r="A12" s="13" t="s">
        <v>20</v>
      </c>
      <c r="B12" s="11">
        <v>25</v>
      </c>
    </row>
    <row r="13" spans="1:2">
      <c r="A13" s="14" t="s">
        <v>19</v>
      </c>
      <c r="B13" s="11">
        <v>4</v>
      </c>
    </row>
    <row r="14" spans="1:2">
      <c r="A14" s="14" t="s">
        <v>14</v>
      </c>
      <c r="B14" s="11">
        <v>9</v>
      </c>
    </row>
    <row r="15" spans="1:2">
      <c r="A15" s="14" t="s">
        <v>25</v>
      </c>
      <c r="B15" s="11">
        <v>12</v>
      </c>
    </row>
    <row r="16" spans="1:2">
      <c r="A16" s="13" t="s">
        <v>21</v>
      </c>
      <c r="B16" s="11">
        <v>21</v>
      </c>
    </row>
    <row r="17" spans="1:2">
      <c r="A17" s="14" t="s">
        <v>19</v>
      </c>
      <c r="B17" s="11">
        <v>3</v>
      </c>
    </row>
    <row r="18" spans="1:2">
      <c r="A18" s="14" t="s">
        <v>14</v>
      </c>
      <c r="B18" s="11">
        <v>4</v>
      </c>
    </row>
    <row r="19" spans="1:2">
      <c r="A19" s="14" t="s">
        <v>25</v>
      </c>
      <c r="B19" s="11">
        <v>14</v>
      </c>
    </row>
    <row r="20" spans="1:2">
      <c r="A20" s="13" t="s">
        <v>70</v>
      </c>
      <c r="B20" s="11">
        <v>132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tabSelected="1" workbookViewId="0">
      <selection activeCell="A3" sqref="A3"/>
    </sheetView>
  </sheetViews>
  <sheetFormatPr defaultRowHeight="13.8"/>
  <cols>
    <col min="1" max="1" width="13.69921875" bestFit="1" customWidth="1"/>
    <col min="2" max="2" width="19.19921875" bestFit="1" customWidth="1"/>
  </cols>
  <sheetData>
    <row r="3" spans="1:2">
      <c r="A3" s="12" t="s">
        <v>69</v>
      </c>
      <c r="B3" t="s">
        <v>75</v>
      </c>
    </row>
    <row r="4" spans="1:2">
      <c r="A4" s="13" t="s">
        <v>19</v>
      </c>
      <c r="B4" s="11">
        <v>33</v>
      </c>
    </row>
    <row r="5" spans="1:2">
      <c r="A5" s="14" t="s">
        <v>24</v>
      </c>
      <c r="B5" s="11">
        <v>8</v>
      </c>
    </row>
    <row r="6" spans="1:2">
      <c r="A6" s="14" t="s">
        <v>17</v>
      </c>
      <c r="B6" s="11">
        <v>25</v>
      </c>
    </row>
    <row r="7" spans="1:2">
      <c r="A7" s="13" t="s">
        <v>14</v>
      </c>
      <c r="B7" s="11">
        <v>32</v>
      </c>
    </row>
    <row r="8" spans="1:2">
      <c r="A8" s="14" t="s">
        <v>24</v>
      </c>
      <c r="B8" s="11">
        <v>6</v>
      </c>
    </row>
    <row r="9" spans="1:2">
      <c r="A9" s="14" t="s">
        <v>17</v>
      </c>
      <c r="B9" s="11">
        <v>26</v>
      </c>
    </row>
    <row r="10" spans="1:2">
      <c r="A10" s="13" t="s">
        <v>25</v>
      </c>
      <c r="B10" s="11">
        <v>67</v>
      </c>
    </row>
    <row r="11" spans="1:2">
      <c r="A11" s="14" t="s">
        <v>24</v>
      </c>
      <c r="B11" s="11">
        <v>28</v>
      </c>
    </row>
    <row r="12" spans="1:2">
      <c r="A12" s="14" t="s">
        <v>17</v>
      </c>
      <c r="B12" s="11">
        <v>39</v>
      </c>
    </row>
    <row r="13" spans="1:2">
      <c r="A13" s="13" t="s">
        <v>70</v>
      </c>
      <c r="B13" s="11">
        <v>132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topLeftCell="A2" workbookViewId="0">
      <selection activeCell="B20" sqref="B20"/>
    </sheetView>
  </sheetViews>
  <sheetFormatPr defaultColWidth="22.19921875" defaultRowHeight="13.8"/>
  <cols>
    <col min="16" max="16" width="27.3984375" customWidth="1"/>
  </cols>
  <sheetData>
    <row r="1" spans="1:1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64</v>
      </c>
      <c r="P1" t="s">
        <v>65</v>
      </c>
      <c r="Q1" s="10" t="s">
        <v>66</v>
      </c>
      <c r="R1" t="s">
        <v>67</v>
      </c>
      <c r="S1" t="s">
        <v>68</v>
      </c>
    </row>
    <row r="2" spans="1:19">
      <c r="A2" s="3">
        <v>2001</v>
      </c>
      <c r="B2" s="3" t="s">
        <v>14</v>
      </c>
      <c r="C2" s="4">
        <v>46209.388888888891</v>
      </c>
      <c r="D2" s="3" t="s">
        <v>15</v>
      </c>
      <c r="E2" s="4">
        <v>46209.42291666667</v>
      </c>
      <c r="F2" s="3">
        <v>45</v>
      </c>
      <c r="G2" s="3">
        <v>59</v>
      </c>
      <c r="H2" s="4">
        <v>46209.463888888888</v>
      </c>
      <c r="I2" s="4">
        <v>46209.480555555558</v>
      </c>
      <c r="J2" s="3" t="s">
        <v>16</v>
      </c>
      <c r="K2" s="5">
        <v>187</v>
      </c>
      <c r="L2" s="5">
        <v>0</v>
      </c>
      <c r="M2" s="3" t="s">
        <v>17</v>
      </c>
      <c r="N2" s="3">
        <v>0</v>
      </c>
      <c r="O2">
        <f t="shared" ref="O2:O33" si="0">(E2-C2)*1440</f>
        <v>49.000000002561137</v>
      </c>
      <c r="P2">
        <f t="shared" ref="P2:P33" si="1">(I2-C2)*1440</f>
        <v>132.00000000069849</v>
      </c>
      <c r="Q2">
        <f t="shared" ref="Q2:Q33" si="2">(G2-F2)</f>
        <v>14</v>
      </c>
      <c r="R2" s="11"/>
      <c r="S2" s="11"/>
    </row>
    <row r="3" spans="1:19">
      <c r="A3" s="3">
        <v>2002</v>
      </c>
      <c r="B3" s="3" t="s">
        <v>14</v>
      </c>
      <c r="C3" s="4">
        <v>46209.40625</v>
      </c>
      <c r="D3" s="3" t="s">
        <v>15</v>
      </c>
      <c r="E3" s="4">
        <v>46209.416666666664</v>
      </c>
      <c r="F3" s="3">
        <v>75</v>
      </c>
      <c r="G3" s="3">
        <v>84</v>
      </c>
      <c r="H3" s="4">
        <v>46209.474999999999</v>
      </c>
      <c r="I3" s="4">
        <v>46209.500694444447</v>
      </c>
      <c r="J3" s="3" t="s">
        <v>18</v>
      </c>
      <c r="K3" s="5">
        <v>374</v>
      </c>
      <c r="L3" s="5">
        <v>0</v>
      </c>
      <c r="M3" s="3" t="s">
        <v>17</v>
      </c>
      <c r="N3" s="3">
        <v>0</v>
      </c>
      <c r="O3">
        <f t="shared" si="0"/>
        <v>14.99999999650754</v>
      </c>
      <c r="P3">
        <f t="shared" si="1"/>
        <v>136.00000000325963</v>
      </c>
      <c r="Q3">
        <f t="shared" si="2"/>
        <v>9</v>
      </c>
      <c r="R3" s="11"/>
      <c r="S3" s="11"/>
    </row>
    <row r="4" spans="1:19">
      <c r="A4" s="3">
        <v>2003</v>
      </c>
      <c r="B4" s="3" t="s">
        <v>14</v>
      </c>
      <c r="C4" s="4">
        <v>46209.423611111109</v>
      </c>
      <c r="D4" s="3" t="s">
        <v>15</v>
      </c>
      <c r="E4" s="4">
        <v>46209.449305555558</v>
      </c>
      <c r="F4" s="3">
        <v>45</v>
      </c>
      <c r="G4" s="3">
        <v>57</v>
      </c>
      <c r="H4" s="4">
        <v>46209.488888888889</v>
      </c>
      <c r="I4" s="4">
        <v>46209.515972222223</v>
      </c>
      <c r="J4" s="3" t="s">
        <v>16</v>
      </c>
      <c r="K4" s="5">
        <v>386</v>
      </c>
      <c r="L4" s="5">
        <v>0</v>
      </c>
      <c r="M4" s="3" t="s">
        <v>17</v>
      </c>
      <c r="N4" s="3">
        <v>0</v>
      </c>
      <c r="O4">
        <f t="shared" si="0"/>
        <v>37.000000005355105</v>
      </c>
      <c r="P4">
        <f t="shared" si="1"/>
        <v>133.00000000395812</v>
      </c>
      <c r="Q4">
        <f t="shared" si="2"/>
        <v>12</v>
      </c>
      <c r="R4" s="11"/>
      <c r="S4" s="11"/>
    </row>
    <row r="5" spans="1:19">
      <c r="A5" s="3">
        <v>2004</v>
      </c>
      <c r="B5" s="3" t="s">
        <v>19</v>
      </c>
      <c r="C5" s="4">
        <v>46209.465277777781</v>
      </c>
      <c r="D5" s="3" t="s">
        <v>20</v>
      </c>
      <c r="E5" s="4">
        <v>46209.521527777775</v>
      </c>
      <c r="F5" s="3">
        <v>120</v>
      </c>
      <c r="G5" s="3">
        <v>116</v>
      </c>
      <c r="H5" s="4">
        <v>46209.602083333331</v>
      </c>
      <c r="I5" s="4">
        <v>46209.611805555556</v>
      </c>
      <c r="J5" s="3" t="s">
        <v>18</v>
      </c>
      <c r="K5" s="5">
        <v>645</v>
      </c>
      <c r="L5" s="5">
        <v>0</v>
      </c>
      <c r="M5" s="3" t="s">
        <v>17</v>
      </c>
      <c r="N5" s="3">
        <v>0</v>
      </c>
      <c r="O5">
        <f t="shared" si="0"/>
        <v>80.999999991618097</v>
      </c>
      <c r="P5">
        <f t="shared" si="1"/>
        <v>210.99999999627471</v>
      </c>
      <c r="Q5">
        <f t="shared" si="2"/>
        <v>-4</v>
      </c>
      <c r="R5" s="11"/>
      <c r="S5" s="11"/>
    </row>
    <row r="6" spans="1:19">
      <c r="A6" s="3">
        <v>2005</v>
      </c>
      <c r="B6" s="3" t="s">
        <v>14</v>
      </c>
      <c r="C6" s="4">
        <v>46209.381944444445</v>
      </c>
      <c r="D6" s="3" t="s">
        <v>21</v>
      </c>
      <c r="E6" s="4">
        <v>46209.40902777778</v>
      </c>
      <c r="F6" s="3">
        <v>45</v>
      </c>
      <c r="G6" s="3">
        <v>42</v>
      </c>
      <c r="H6" s="4">
        <v>46209.438194444447</v>
      </c>
      <c r="I6" s="4">
        <v>46209.460416666669</v>
      </c>
      <c r="J6" s="3" t="s">
        <v>18</v>
      </c>
      <c r="K6" s="5">
        <v>273</v>
      </c>
      <c r="L6" s="5">
        <v>0</v>
      </c>
      <c r="M6" s="3" t="s">
        <v>17</v>
      </c>
      <c r="N6" s="3">
        <v>0</v>
      </c>
      <c r="O6">
        <f t="shared" si="0"/>
        <v>39.000000001396984</v>
      </c>
      <c r="P6">
        <f t="shared" si="1"/>
        <v>113.00000000162981</v>
      </c>
      <c r="Q6">
        <f t="shared" si="2"/>
        <v>-3</v>
      </c>
      <c r="R6" s="11"/>
      <c r="S6" s="11"/>
    </row>
    <row r="7" spans="1:19">
      <c r="A7" s="3">
        <v>2006</v>
      </c>
      <c r="B7" s="3" t="s">
        <v>14</v>
      </c>
      <c r="C7" s="4">
        <v>46209.34375</v>
      </c>
      <c r="D7" s="3" t="s">
        <v>22</v>
      </c>
      <c r="E7" s="4">
        <v>46209.361111111109</v>
      </c>
      <c r="F7" s="3">
        <v>60</v>
      </c>
      <c r="G7" s="3">
        <v>82</v>
      </c>
      <c r="H7" s="4">
        <v>46209.418055555558</v>
      </c>
      <c r="I7" s="4">
        <v>46209.452777777777</v>
      </c>
      <c r="J7" s="3" t="s">
        <v>23</v>
      </c>
      <c r="K7" s="5">
        <v>298</v>
      </c>
      <c r="L7" s="5">
        <v>0</v>
      </c>
      <c r="M7" s="3" t="s">
        <v>17</v>
      </c>
      <c r="N7" s="3">
        <v>0</v>
      </c>
      <c r="O7">
        <f t="shared" si="0"/>
        <v>24.999999997671694</v>
      </c>
      <c r="P7">
        <f t="shared" si="1"/>
        <v>156.99999999837019</v>
      </c>
      <c r="Q7">
        <f t="shared" si="2"/>
        <v>22</v>
      </c>
      <c r="R7" s="11"/>
      <c r="S7" s="11"/>
    </row>
    <row r="8" spans="1:19">
      <c r="A8" s="3">
        <v>2007</v>
      </c>
      <c r="B8" s="3" t="s">
        <v>14</v>
      </c>
      <c r="C8" s="4">
        <v>46209.416666666664</v>
      </c>
      <c r="D8" s="3" t="s">
        <v>15</v>
      </c>
      <c r="E8" s="4">
        <v>46209.440972222219</v>
      </c>
      <c r="F8" s="3">
        <v>45</v>
      </c>
      <c r="G8" s="3">
        <v>41</v>
      </c>
      <c r="H8" s="4">
        <v>46209.552777777775</v>
      </c>
      <c r="I8" s="4">
        <v>46209.568749999999</v>
      </c>
      <c r="J8" s="3" t="s">
        <v>23</v>
      </c>
      <c r="K8" s="5">
        <v>413</v>
      </c>
      <c r="L8" s="5">
        <v>0</v>
      </c>
      <c r="M8" s="3" t="s">
        <v>24</v>
      </c>
      <c r="N8" s="3">
        <v>120</v>
      </c>
      <c r="O8">
        <f t="shared" si="0"/>
        <v>34.999999998835847</v>
      </c>
      <c r="P8">
        <f t="shared" si="1"/>
        <v>219.00000000139698</v>
      </c>
      <c r="Q8">
        <f t="shared" si="2"/>
        <v>-4</v>
      </c>
      <c r="R8" s="11"/>
      <c r="S8" s="11"/>
    </row>
    <row r="9" spans="1:19">
      <c r="A9" s="3">
        <v>2008</v>
      </c>
      <c r="B9" s="3" t="s">
        <v>19</v>
      </c>
      <c r="C9" s="4">
        <v>46210.510416666664</v>
      </c>
      <c r="D9" s="3" t="s">
        <v>15</v>
      </c>
      <c r="E9" s="4">
        <v>46210.557638888888</v>
      </c>
      <c r="F9" s="3">
        <v>60</v>
      </c>
      <c r="G9" s="3">
        <v>77</v>
      </c>
      <c r="H9" s="4">
        <v>46210.611111111109</v>
      </c>
      <c r="I9" s="4">
        <v>46210.643750000003</v>
      </c>
      <c r="J9" s="3" t="s">
        <v>16</v>
      </c>
      <c r="K9" s="5">
        <v>732</v>
      </c>
      <c r="L9" s="5">
        <v>0</v>
      </c>
      <c r="M9" s="3" t="s">
        <v>17</v>
      </c>
      <c r="N9" s="3">
        <v>0</v>
      </c>
      <c r="O9">
        <f t="shared" si="0"/>
        <v>68.000000001629815</v>
      </c>
      <c r="P9">
        <f t="shared" si="1"/>
        <v>192.00000000768341</v>
      </c>
      <c r="Q9">
        <f t="shared" si="2"/>
        <v>17</v>
      </c>
      <c r="R9" s="11"/>
      <c r="S9" s="11"/>
    </row>
    <row r="10" spans="1:19">
      <c r="A10" s="3">
        <v>2009</v>
      </c>
      <c r="B10" s="3" t="s">
        <v>14</v>
      </c>
      <c r="C10" s="4">
        <v>46210.368055555555</v>
      </c>
      <c r="D10" s="3" t="s">
        <v>15</v>
      </c>
      <c r="E10" s="4">
        <v>46210.383333333331</v>
      </c>
      <c r="F10" s="3">
        <v>45</v>
      </c>
      <c r="G10" s="3">
        <v>50</v>
      </c>
      <c r="H10" s="4">
        <v>46210.418055555558</v>
      </c>
      <c r="I10" s="4">
        <v>46210.427777777775</v>
      </c>
      <c r="J10" s="3" t="s">
        <v>16</v>
      </c>
      <c r="K10" s="5">
        <v>354</v>
      </c>
      <c r="L10" s="5">
        <v>0</v>
      </c>
      <c r="M10" s="3" t="s">
        <v>17</v>
      </c>
      <c r="N10" s="3">
        <v>0</v>
      </c>
      <c r="O10">
        <f t="shared" si="0"/>
        <v>21.999999998370185</v>
      </c>
      <c r="P10">
        <f t="shared" si="1"/>
        <v>85.999999997438863</v>
      </c>
      <c r="Q10">
        <f t="shared" si="2"/>
        <v>5</v>
      </c>
      <c r="R10" s="11"/>
      <c r="S10" s="11"/>
    </row>
    <row r="11" spans="1:19">
      <c r="A11" s="3">
        <v>2010</v>
      </c>
      <c r="B11" s="3" t="s">
        <v>25</v>
      </c>
      <c r="C11" s="4">
        <v>46210.520833333336</v>
      </c>
      <c r="D11" s="3" t="s">
        <v>21</v>
      </c>
      <c r="E11" s="4">
        <v>46210.615972222222</v>
      </c>
      <c r="F11" s="3">
        <v>90</v>
      </c>
      <c r="G11" s="3">
        <v>117</v>
      </c>
      <c r="H11" s="4">
        <v>46210.697222222225</v>
      </c>
      <c r="I11" s="4">
        <v>46210.727777777778</v>
      </c>
      <c r="J11" s="3" t="s">
        <v>23</v>
      </c>
      <c r="K11" s="5">
        <v>1288</v>
      </c>
      <c r="L11" s="5">
        <v>75</v>
      </c>
      <c r="M11" s="3" t="s">
        <v>17</v>
      </c>
      <c r="N11" s="3">
        <v>0</v>
      </c>
      <c r="O11">
        <f t="shared" si="0"/>
        <v>136.99999999604188</v>
      </c>
      <c r="P11">
        <f t="shared" si="1"/>
        <v>297.9999999969732</v>
      </c>
      <c r="Q11">
        <f t="shared" si="2"/>
        <v>27</v>
      </c>
      <c r="R11" s="11"/>
      <c r="S11" s="11"/>
    </row>
    <row r="12" spans="1:19">
      <c r="A12" s="3">
        <v>2011</v>
      </c>
      <c r="B12" s="3" t="s">
        <v>25</v>
      </c>
      <c r="C12" s="4">
        <v>46210.40625</v>
      </c>
      <c r="D12" s="3" t="s">
        <v>15</v>
      </c>
      <c r="E12" s="4">
        <v>46210.504861111112</v>
      </c>
      <c r="F12" s="3">
        <v>90</v>
      </c>
      <c r="G12" s="3">
        <v>120</v>
      </c>
      <c r="H12" s="4">
        <v>46210.619444444441</v>
      </c>
      <c r="I12" s="4">
        <v>46210.654166666667</v>
      </c>
      <c r="J12" s="3" t="s">
        <v>16</v>
      </c>
      <c r="K12" s="5">
        <v>1062</v>
      </c>
      <c r="L12" s="5">
        <v>175</v>
      </c>
      <c r="M12" s="3" t="s">
        <v>24</v>
      </c>
      <c r="N12" s="3">
        <v>45</v>
      </c>
      <c r="O12">
        <f t="shared" si="0"/>
        <v>142.00000000186265</v>
      </c>
      <c r="P12">
        <f t="shared" si="1"/>
        <v>357.00000000069849</v>
      </c>
      <c r="Q12">
        <f t="shared" si="2"/>
        <v>30</v>
      </c>
      <c r="R12" s="11"/>
      <c r="S12" s="11"/>
    </row>
    <row r="13" spans="1:19">
      <c r="A13" s="3">
        <v>2012</v>
      </c>
      <c r="B13" s="3" t="s">
        <v>14</v>
      </c>
      <c r="C13" s="4">
        <v>46210.427083333336</v>
      </c>
      <c r="D13" s="3" t="s">
        <v>22</v>
      </c>
      <c r="E13" s="4">
        <v>46210.463888888888</v>
      </c>
      <c r="F13" s="3">
        <v>45</v>
      </c>
      <c r="G13" s="3">
        <v>37</v>
      </c>
      <c r="H13" s="4">
        <v>46210.489583333336</v>
      </c>
      <c r="I13" s="4">
        <v>46210.501388888886</v>
      </c>
      <c r="J13" s="3" t="s">
        <v>23</v>
      </c>
      <c r="K13" s="5">
        <v>262</v>
      </c>
      <c r="L13" s="5">
        <v>0</v>
      </c>
      <c r="M13" s="3" t="s">
        <v>17</v>
      </c>
      <c r="N13" s="3">
        <v>0</v>
      </c>
      <c r="O13">
        <f t="shared" si="0"/>
        <v>52.999999994644895</v>
      </c>
      <c r="P13">
        <f t="shared" si="1"/>
        <v>106.99999999254942</v>
      </c>
      <c r="Q13">
        <f t="shared" si="2"/>
        <v>-8</v>
      </c>
      <c r="R13" s="11"/>
      <c r="S13" s="11"/>
    </row>
    <row r="14" spans="1:19">
      <c r="A14" s="3">
        <v>2013</v>
      </c>
      <c r="B14" s="3" t="s">
        <v>19</v>
      </c>
      <c r="C14" s="4">
        <v>46210.388888888891</v>
      </c>
      <c r="D14" s="3" t="s">
        <v>15</v>
      </c>
      <c r="E14" s="4">
        <v>46210.420138888891</v>
      </c>
      <c r="F14" s="3">
        <v>120</v>
      </c>
      <c r="G14" s="3">
        <v>168</v>
      </c>
      <c r="H14" s="4">
        <v>46210.578472222223</v>
      </c>
      <c r="I14" s="4">
        <v>46210.59097222222</v>
      </c>
      <c r="J14" s="3" t="s">
        <v>16</v>
      </c>
      <c r="K14" s="5">
        <v>385</v>
      </c>
      <c r="L14" s="5">
        <v>100</v>
      </c>
      <c r="M14" s="3" t="s">
        <v>24</v>
      </c>
      <c r="N14" s="3">
        <v>60</v>
      </c>
      <c r="O14">
        <f t="shared" si="0"/>
        <v>45</v>
      </c>
      <c r="P14">
        <f t="shared" si="1"/>
        <v>290.99999999511056</v>
      </c>
      <c r="Q14">
        <f t="shared" si="2"/>
        <v>48</v>
      </c>
      <c r="R14" s="11"/>
      <c r="S14" s="11"/>
    </row>
    <row r="15" spans="1:19">
      <c r="A15" s="3">
        <v>2014</v>
      </c>
      <c r="B15" s="3" t="s">
        <v>25</v>
      </c>
      <c r="C15" s="4">
        <v>46210.40625</v>
      </c>
      <c r="D15" s="3" t="s">
        <v>21</v>
      </c>
      <c r="E15" s="4">
        <v>46210.505555555559</v>
      </c>
      <c r="F15" s="3">
        <v>240</v>
      </c>
      <c r="G15" s="3">
        <v>289</v>
      </c>
      <c r="H15" s="4">
        <v>46210.706250000003</v>
      </c>
      <c r="I15" s="4">
        <v>46210.726388888892</v>
      </c>
      <c r="J15" s="3" t="s">
        <v>16</v>
      </c>
      <c r="K15" s="5">
        <v>1256</v>
      </c>
      <c r="L15" s="5">
        <v>275</v>
      </c>
      <c r="M15" s="3" t="s">
        <v>17</v>
      </c>
      <c r="N15" s="3">
        <v>0</v>
      </c>
      <c r="O15">
        <f t="shared" si="0"/>
        <v>143.00000000512227</v>
      </c>
      <c r="P15">
        <f t="shared" si="1"/>
        <v>461.00000000442378</v>
      </c>
      <c r="Q15">
        <f t="shared" si="2"/>
        <v>49</v>
      </c>
      <c r="R15" s="11"/>
      <c r="S15" s="11"/>
    </row>
    <row r="16" spans="1:19">
      <c r="A16" s="3">
        <v>2015</v>
      </c>
      <c r="B16" s="3" t="s">
        <v>25</v>
      </c>
      <c r="C16" s="4">
        <v>46210.347222222219</v>
      </c>
      <c r="D16" s="3" t="s">
        <v>15</v>
      </c>
      <c r="E16" s="4">
        <v>46210.383333333331</v>
      </c>
      <c r="F16" s="3">
        <v>150</v>
      </c>
      <c r="G16" s="3">
        <v>146</v>
      </c>
      <c r="H16" s="4">
        <v>46210.484722222223</v>
      </c>
      <c r="I16" s="4">
        <v>46210.519444444442</v>
      </c>
      <c r="J16" s="3" t="s">
        <v>18</v>
      </c>
      <c r="K16" s="5">
        <v>775</v>
      </c>
      <c r="L16" s="5">
        <v>50</v>
      </c>
      <c r="M16" s="3" t="s">
        <v>17</v>
      </c>
      <c r="N16" s="3">
        <v>0</v>
      </c>
      <c r="O16">
        <f t="shared" si="0"/>
        <v>52.000000001862645</v>
      </c>
      <c r="P16">
        <f t="shared" si="1"/>
        <v>248.00000000162981</v>
      </c>
      <c r="Q16">
        <f t="shared" si="2"/>
        <v>-4</v>
      </c>
      <c r="R16" s="11"/>
      <c r="S16" s="11"/>
    </row>
    <row r="17" spans="1:19">
      <c r="A17" s="3">
        <v>2016</v>
      </c>
      <c r="B17" s="3" t="s">
        <v>19</v>
      </c>
      <c r="C17" s="4">
        <v>46210.423611111109</v>
      </c>
      <c r="D17" s="3" t="s">
        <v>22</v>
      </c>
      <c r="E17" s="4">
        <v>46210.490972222222</v>
      </c>
      <c r="F17" s="3">
        <v>90</v>
      </c>
      <c r="G17" s="3">
        <v>98</v>
      </c>
      <c r="H17" s="4">
        <v>46210.559027777781</v>
      </c>
      <c r="I17" s="4">
        <v>46210.59097222222</v>
      </c>
      <c r="J17" s="3" t="s">
        <v>16</v>
      </c>
      <c r="K17" s="5">
        <v>459</v>
      </c>
      <c r="L17" s="5">
        <v>100</v>
      </c>
      <c r="M17" s="3" t="s">
        <v>17</v>
      </c>
      <c r="N17" s="3">
        <v>0</v>
      </c>
      <c r="O17">
        <f t="shared" si="0"/>
        <v>97.000000001862645</v>
      </c>
      <c r="P17">
        <f t="shared" si="1"/>
        <v>240.99999999976717</v>
      </c>
      <c r="Q17">
        <f t="shared" si="2"/>
        <v>8</v>
      </c>
      <c r="R17" s="11"/>
      <c r="S17" s="11"/>
    </row>
    <row r="18" spans="1:19">
      <c r="A18" s="3">
        <v>2017</v>
      </c>
      <c r="B18" s="3" t="s">
        <v>19</v>
      </c>
      <c r="C18" s="4">
        <v>46210.472222222219</v>
      </c>
      <c r="D18" s="3" t="s">
        <v>15</v>
      </c>
      <c r="E18" s="4">
        <v>46210.534722222219</v>
      </c>
      <c r="F18" s="3">
        <v>120</v>
      </c>
      <c r="G18" s="3">
        <v>128</v>
      </c>
      <c r="H18" s="4">
        <v>46210.623611111114</v>
      </c>
      <c r="I18" s="4">
        <v>46210.634722222225</v>
      </c>
      <c r="J18" s="3" t="s">
        <v>18</v>
      </c>
      <c r="K18" s="5">
        <v>723</v>
      </c>
      <c r="L18" s="5">
        <v>0</v>
      </c>
      <c r="M18" s="3" t="s">
        <v>17</v>
      </c>
      <c r="N18" s="3">
        <v>0</v>
      </c>
      <c r="O18">
        <f t="shared" si="0"/>
        <v>90</v>
      </c>
      <c r="P18">
        <f t="shared" si="1"/>
        <v>234.0000000083819</v>
      </c>
      <c r="Q18">
        <f t="shared" si="2"/>
        <v>8</v>
      </c>
      <c r="R18" s="11"/>
      <c r="S18" s="11"/>
    </row>
    <row r="19" spans="1:19">
      <c r="A19" s="3">
        <v>2018</v>
      </c>
      <c r="B19" s="3" t="s">
        <v>19</v>
      </c>
      <c r="C19" s="4">
        <v>46211.347222222219</v>
      </c>
      <c r="D19" s="3" t="s">
        <v>15</v>
      </c>
      <c r="E19" s="4">
        <v>46211.430555555555</v>
      </c>
      <c r="F19" s="3">
        <v>120</v>
      </c>
      <c r="G19" s="3">
        <v>164</v>
      </c>
      <c r="H19" s="4">
        <v>46211.544444444444</v>
      </c>
      <c r="I19" s="4">
        <v>46211.571527777778</v>
      </c>
      <c r="J19" s="3" t="s">
        <v>23</v>
      </c>
      <c r="K19" s="5">
        <v>421</v>
      </c>
      <c r="L19" s="5">
        <v>50</v>
      </c>
      <c r="M19" s="3" t="s">
        <v>17</v>
      </c>
      <c r="N19" s="3">
        <v>0</v>
      </c>
      <c r="O19">
        <f t="shared" si="0"/>
        <v>120.00000000349246</v>
      </c>
      <c r="P19">
        <f t="shared" si="1"/>
        <v>323.00000000512227</v>
      </c>
      <c r="Q19">
        <f t="shared" si="2"/>
        <v>44</v>
      </c>
      <c r="R19" s="11"/>
      <c r="S19" s="11"/>
    </row>
    <row r="20" spans="1:19">
      <c r="A20" s="3">
        <v>2019</v>
      </c>
      <c r="B20" s="3" t="s">
        <v>14</v>
      </c>
      <c r="C20" s="4">
        <v>46211.548611111109</v>
      </c>
      <c r="D20" s="3" t="s">
        <v>15</v>
      </c>
      <c r="E20" s="4">
        <v>46211.581944444442</v>
      </c>
      <c r="F20" s="3">
        <v>45</v>
      </c>
      <c r="G20" s="3">
        <v>71</v>
      </c>
      <c r="H20" s="4">
        <v>46211.631249999999</v>
      </c>
      <c r="I20" s="4">
        <v>46211.647222222222</v>
      </c>
      <c r="J20" s="3" t="s">
        <v>23</v>
      </c>
      <c r="K20" s="5">
        <v>222</v>
      </c>
      <c r="L20" s="5">
        <v>0</v>
      </c>
      <c r="M20" s="3" t="s">
        <v>17</v>
      </c>
      <c r="N20" s="3">
        <v>0</v>
      </c>
      <c r="O20">
        <f t="shared" si="0"/>
        <v>47.999999999301508</v>
      </c>
      <c r="P20">
        <f t="shared" si="1"/>
        <v>142.00000000186265</v>
      </c>
      <c r="Q20">
        <f t="shared" si="2"/>
        <v>26</v>
      </c>
      <c r="R20" s="11"/>
      <c r="S20" s="11"/>
    </row>
    <row r="21" spans="1:19">
      <c r="A21" s="3">
        <v>2020</v>
      </c>
      <c r="B21" s="3" t="s">
        <v>19</v>
      </c>
      <c r="C21" s="4">
        <v>46211.364583333336</v>
      </c>
      <c r="D21" s="3" t="s">
        <v>15</v>
      </c>
      <c r="E21" s="4">
        <v>46211.428472222222</v>
      </c>
      <c r="F21" s="3">
        <v>90</v>
      </c>
      <c r="G21" s="3">
        <v>86</v>
      </c>
      <c r="H21" s="4">
        <v>46211.488194444442</v>
      </c>
      <c r="I21" s="4">
        <v>46211.519444444442</v>
      </c>
      <c r="J21" s="3" t="s">
        <v>23</v>
      </c>
      <c r="K21" s="5">
        <v>582</v>
      </c>
      <c r="L21" s="5">
        <v>0</v>
      </c>
      <c r="M21" s="3" t="s">
        <v>17</v>
      </c>
      <c r="N21" s="3">
        <v>0</v>
      </c>
      <c r="O21">
        <f t="shared" si="0"/>
        <v>91.999999996041879</v>
      </c>
      <c r="P21">
        <f t="shared" si="1"/>
        <v>222.99999999348074</v>
      </c>
      <c r="Q21">
        <f t="shared" si="2"/>
        <v>-4</v>
      </c>
      <c r="R21" s="11"/>
      <c r="S21" s="11"/>
    </row>
    <row r="22" spans="1:19">
      <c r="A22" s="3">
        <v>2021</v>
      </c>
      <c r="B22" s="3" t="s">
        <v>25</v>
      </c>
      <c r="C22" s="4">
        <v>46211.395833333336</v>
      </c>
      <c r="D22" s="3" t="s">
        <v>15</v>
      </c>
      <c r="E22" s="4">
        <v>46211.493055555555</v>
      </c>
      <c r="F22" s="3">
        <v>90</v>
      </c>
      <c r="G22" s="3">
        <v>99</v>
      </c>
      <c r="H22" s="4">
        <v>46211.561805555553</v>
      </c>
      <c r="I22" s="4">
        <v>46211.589583333334</v>
      </c>
      <c r="J22" s="3" t="s">
        <v>23</v>
      </c>
      <c r="K22" s="5">
        <v>871</v>
      </c>
      <c r="L22" s="5">
        <v>100</v>
      </c>
      <c r="M22" s="3" t="s">
        <v>17</v>
      </c>
      <c r="N22" s="3">
        <v>0</v>
      </c>
      <c r="O22">
        <f t="shared" si="0"/>
        <v>139.99999999534339</v>
      </c>
      <c r="P22">
        <f t="shared" si="1"/>
        <v>278.99999999790452</v>
      </c>
      <c r="Q22">
        <f t="shared" si="2"/>
        <v>9</v>
      </c>
      <c r="R22" s="11"/>
      <c r="S22" s="11"/>
    </row>
    <row r="23" spans="1:19">
      <c r="A23" s="3">
        <v>2022</v>
      </c>
      <c r="B23" s="3" t="s">
        <v>25</v>
      </c>
      <c r="C23" s="4">
        <v>46211.298611111109</v>
      </c>
      <c r="D23" s="3" t="s">
        <v>21</v>
      </c>
      <c r="E23" s="4">
        <v>46211.386111111111</v>
      </c>
      <c r="F23" s="3">
        <v>90</v>
      </c>
      <c r="G23" s="3">
        <v>88</v>
      </c>
      <c r="H23" s="4">
        <v>46211.499305555553</v>
      </c>
      <c r="I23" s="4">
        <v>46211.523611111108</v>
      </c>
      <c r="J23" s="3" t="s">
        <v>23</v>
      </c>
      <c r="K23" s="5">
        <v>619</v>
      </c>
      <c r="L23" s="5">
        <v>50</v>
      </c>
      <c r="M23" s="3" t="s">
        <v>24</v>
      </c>
      <c r="N23" s="3">
        <v>75</v>
      </c>
      <c r="O23">
        <f t="shared" si="0"/>
        <v>126.00000000209548</v>
      </c>
      <c r="P23">
        <f t="shared" si="1"/>
        <v>323.99999999790452</v>
      </c>
      <c r="Q23">
        <f t="shared" si="2"/>
        <v>-2</v>
      </c>
      <c r="R23" s="11"/>
      <c r="S23" s="11"/>
    </row>
    <row r="24" spans="1:19">
      <c r="A24" s="3">
        <v>2023</v>
      </c>
      <c r="B24" s="3" t="s">
        <v>25</v>
      </c>
      <c r="C24" s="4">
        <v>46211.583333333336</v>
      </c>
      <c r="D24" s="3" t="s">
        <v>22</v>
      </c>
      <c r="E24" s="4">
        <v>46211.676388888889</v>
      </c>
      <c r="F24" s="3">
        <v>180</v>
      </c>
      <c r="G24" s="3">
        <v>164</v>
      </c>
      <c r="H24" s="4">
        <v>46211.790277777778</v>
      </c>
      <c r="I24" s="4">
        <v>46211.811111111114</v>
      </c>
      <c r="J24" s="3" t="s">
        <v>18</v>
      </c>
      <c r="K24" s="5">
        <v>817</v>
      </c>
      <c r="L24" s="5">
        <v>50</v>
      </c>
      <c r="M24" s="3" t="s">
        <v>17</v>
      </c>
      <c r="N24" s="3">
        <v>0</v>
      </c>
      <c r="O24">
        <f t="shared" si="0"/>
        <v>133.99999999674037</v>
      </c>
      <c r="P24">
        <f t="shared" si="1"/>
        <v>328.00000000046566</v>
      </c>
      <c r="Q24">
        <f t="shared" si="2"/>
        <v>-16</v>
      </c>
      <c r="R24" s="11"/>
      <c r="S24" s="11"/>
    </row>
    <row r="25" spans="1:19">
      <c r="A25" s="3">
        <v>2024</v>
      </c>
      <c r="B25" s="3" t="s">
        <v>14</v>
      </c>
      <c r="C25" s="4">
        <v>46211.409722222219</v>
      </c>
      <c r="D25" s="3" t="s">
        <v>15</v>
      </c>
      <c r="E25" s="4">
        <v>46211.443749999999</v>
      </c>
      <c r="F25" s="3">
        <v>45</v>
      </c>
      <c r="G25" s="3">
        <v>36</v>
      </c>
      <c r="H25" s="4">
        <v>46211.5</v>
      </c>
      <c r="I25" s="4">
        <v>46211.509722222225</v>
      </c>
      <c r="J25" s="3" t="s">
        <v>16</v>
      </c>
      <c r="K25" s="5">
        <v>297</v>
      </c>
      <c r="L25" s="5">
        <v>0</v>
      </c>
      <c r="M25" s="3" t="s">
        <v>24</v>
      </c>
      <c r="N25" s="3">
        <v>45</v>
      </c>
      <c r="O25">
        <f t="shared" si="0"/>
        <v>49.000000002561137</v>
      </c>
      <c r="P25">
        <f t="shared" si="1"/>
        <v>144.0000000083819</v>
      </c>
      <c r="Q25">
        <f t="shared" si="2"/>
        <v>-9</v>
      </c>
      <c r="R25" s="11"/>
      <c r="S25" s="11"/>
    </row>
    <row r="26" spans="1:19">
      <c r="A26" s="3">
        <v>2025</v>
      </c>
      <c r="B26" s="3" t="s">
        <v>25</v>
      </c>
      <c r="C26" s="4">
        <v>46211.361111111109</v>
      </c>
      <c r="D26" s="3" t="s">
        <v>21</v>
      </c>
      <c r="E26" s="4">
        <v>46211.428472222222</v>
      </c>
      <c r="F26" s="3">
        <v>120</v>
      </c>
      <c r="G26" s="3">
        <v>126</v>
      </c>
      <c r="H26" s="4">
        <v>46211.536805555559</v>
      </c>
      <c r="I26" s="4">
        <v>46211.568055555559</v>
      </c>
      <c r="J26" s="3" t="s">
        <v>23</v>
      </c>
      <c r="K26" s="5">
        <v>1106</v>
      </c>
      <c r="L26" s="5">
        <v>75</v>
      </c>
      <c r="M26" s="3" t="s">
        <v>24</v>
      </c>
      <c r="N26" s="3">
        <v>30</v>
      </c>
      <c r="O26">
        <f t="shared" si="0"/>
        <v>97.000000001862645</v>
      </c>
      <c r="P26">
        <f t="shared" si="1"/>
        <v>298.00000000745058</v>
      </c>
      <c r="Q26">
        <f t="shared" si="2"/>
        <v>6</v>
      </c>
      <c r="R26" s="11"/>
      <c r="S26" s="11"/>
    </row>
    <row r="27" spans="1:19">
      <c r="A27" s="3">
        <v>2026</v>
      </c>
      <c r="B27" s="3" t="s">
        <v>14</v>
      </c>
      <c r="C27" s="4">
        <v>46211.354166666664</v>
      </c>
      <c r="D27" s="3" t="s">
        <v>15</v>
      </c>
      <c r="E27" s="4">
        <v>46211.404861111114</v>
      </c>
      <c r="F27" s="3">
        <v>45</v>
      </c>
      <c r="G27" s="3">
        <v>61</v>
      </c>
      <c r="H27" s="4">
        <v>46211.447222222225</v>
      </c>
      <c r="I27" s="4">
        <v>46211.463194444441</v>
      </c>
      <c r="J27" s="3" t="s">
        <v>23</v>
      </c>
      <c r="K27" s="5">
        <v>219</v>
      </c>
      <c r="L27" s="5">
        <v>0</v>
      </c>
      <c r="M27" s="3" t="s">
        <v>17</v>
      </c>
      <c r="N27" s="3">
        <v>0</v>
      </c>
      <c r="O27">
        <f t="shared" si="0"/>
        <v>73.000000007450581</v>
      </c>
      <c r="P27">
        <f t="shared" si="1"/>
        <v>156.99999999837019</v>
      </c>
      <c r="Q27">
        <f t="shared" si="2"/>
        <v>16</v>
      </c>
      <c r="R27" s="11"/>
      <c r="S27" s="11"/>
    </row>
    <row r="28" spans="1:19">
      <c r="A28" s="3">
        <v>2027</v>
      </c>
      <c r="B28" s="3" t="s">
        <v>25</v>
      </c>
      <c r="C28" s="4">
        <v>46212.409722222219</v>
      </c>
      <c r="D28" s="3" t="s">
        <v>15</v>
      </c>
      <c r="E28" s="4">
        <v>46212.486805555556</v>
      </c>
      <c r="F28" s="3">
        <v>90</v>
      </c>
      <c r="G28" s="3">
        <v>60</v>
      </c>
      <c r="H28" s="4">
        <v>46212.59097222222</v>
      </c>
      <c r="I28" s="4">
        <v>46212.604861111111</v>
      </c>
      <c r="J28" s="3" t="s">
        <v>16</v>
      </c>
      <c r="K28" s="5">
        <v>595</v>
      </c>
      <c r="L28" s="5">
        <v>100</v>
      </c>
      <c r="M28" s="3" t="s">
        <v>24</v>
      </c>
      <c r="N28" s="3">
        <v>90</v>
      </c>
      <c r="O28">
        <f t="shared" si="0"/>
        <v>111.00000000558794</v>
      </c>
      <c r="P28">
        <f t="shared" si="1"/>
        <v>281.00000000442378</v>
      </c>
      <c r="Q28">
        <f t="shared" si="2"/>
        <v>-30</v>
      </c>
      <c r="R28" s="11"/>
      <c r="S28" s="11"/>
    </row>
    <row r="29" spans="1:19">
      <c r="A29" s="3">
        <v>2028</v>
      </c>
      <c r="B29" s="3" t="s">
        <v>25</v>
      </c>
      <c r="C29" s="4">
        <v>46212.541666666664</v>
      </c>
      <c r="D29" s="3" t="s">
        <v>15</v>
      </c>
      <c r="E29" s="4">
        <v>46212.677777777775</v>
      </c>
      <c r="F29" s="3">
        <v>120</v>
      </c>
      <c r="G29" s="3">
        <v>85</v>
      </c>
      <c r="H29" s="4">
        <v>46212.736805555556</v>
      </c>
      <c r="I29" s="4">
        <v>46212.75</v>
      </c>
      <c r="J29" s="3" t="s">
        <v>18</v>
      </c>
      <c r="K29" s="5">
        <v>586</v>
      </c>
      <c r="L29" s="5">
        <v>75</v>
      </c>
      <c r="M29" s="3" t="s">
        <v>17</v>
      </c>
      <c r="N29" s="3">
        <v>0</v>
      </c>
      <c r="O29">
        <f t="shared" si="0"/>
        <v>195.99999999976717</v>
      </c>
      <c r="P29">
        <f t="shared" si="1"/>
        <v>300.00000000349246</v>
      </c>
      <c r="Q29">
        <f t="shared" si="2"/>
        <v>-35</v>
      </c>
      <c r="R29" s="11"/>
      <c r="S29" s="11"/>
    </row>
    <row r="30" spans="1:19">
      <c r="A30" s="3">
        <v>2029</v>
      </c>
      <c r="B30" s="3" t="s">
        <v>14</v>
      </c>
      <c r="C30" s="4">
        <v>46212.319444444445</v>
      </c>
      <c r="D30" s="3" t="s">
        <v>15</v>
      </c>
      <c r="E30" s="4">
        <v>46212.384027777778</v>
      </c>
      <c r="F30" s="3">
        <v>60</v>
      </c>
      <c r="G30" s="3">
        <v>49</v>
      </c>
      <c r="H30" s="4">
        <v>46212.418055555558</v>
      </c>
      <c r="I30" s="4">
        <v>46212.435416666667</v>
      </c>
      <c r="J30" s="3" t="s">
        <v>23</v>
      </c>
      <c r="K30" s="5">
        <v>403</v>
      </c>
      <c r="L30" s="5">
        <v>0</v>
      </c>
      <c r="M30" s="3" t="s">
        <v>17</v>
      </c>
      <c r="N30" s="3">
        <v>0</v>
      </c>
      <c r="O30">
        <f t="shared" si="0"/>
        <v>92.999999999301508</v>
      </c>
      <c r="P30">
        <f t="shared" si="1"/>
        <v>166.99999999953434</v>
      </c>
      <c r="Q30">
        <f t="shared" si="2"/>
        <v>-11</v>
      </c>
      <c r="R30" s="11"/>
      <c r="S30" s="11"/>
    </row>
    <row r="31" spans="1:19">
      <c r="A31" s="3">
        <v>2030</v>
      </c>
      <c r="B31" s="3" t="s">
        <v>19</v>
      </c>
      <c r="C31" s="4">
        <v>46212.364583333336</v>
      </c>
      <c r="D31" s="3" t="s">
        <v>15</v>
      </c>
      <c r="E31" s="4">
        <v>46212.474999999999</v>
      </c>
      <c r="F31" s="3">
        <v>120</v>
      </c>
      <c r="G31" s="3">
        <v>169</v>
      </c>
      <c r="H31" s="4">
        <v>46212.644444444442</v>
      </c>
      <c r="I31" s="4">
        <v>46212.663194444445</v>
      </c>
      <c r="J31" s="3" t="s">
        <v>16</v>
      </c>
      <c r="K31" s="5">
        <v>750</v>
      </c>
      <c r="L31" s="5">
        <v>200</v>
      </c>
      <c r="M31" s="3" t="s">
        <v>24</v>
      </c>
      <c r="N31" s="3">
        <v>75</v>
      </c>
      <c r="O31">
        <f t="shared" si="0"/>
        <v>158.99999999441206</v>
      </c>
      <c r="P31">
        <f t="shared" si="1"/>
        <v>429.99999999767169</v>
      </c>
      <c r="Q31">
        <f t="shared" si="2"/>
        <v>49</v>
      </c>
      <c r="R31" s="11"/>
      <c r="S31" s="11"/>
    </row>
    <row r="32" spans="1:19">
      <c r="A32" s="3">
        <v>2031</v>
      </c>
      <c r="B32" s="3" t="s">
        <v>14</v>
      </c>
      <c r="C32" s="4">
        <v>46212.513888888891</v>
      </c>
      <c r="D32" s="3" t="s">
        <v>15</v>
      </c>
      <c r="E32" s="4">
        <v>46212.572222222225</v>
      </c>
      <c r="F32" s="3">
        <v>90</v>
      </c>
      <c r="G32" s="3">
        <v>82</v>
      </c>
      <c r="H32" s="4">
        <v>46212.629166666666</v>
      </c>
      <c r="I32" s="4">
        <v>46212.65347222222</v>
      </c>
      <c r="J32" s="3" t="s">
        <v>18</v>
      </c>
      <c r="K32" s="5">
        <v>238</v>
      </c>
      <c r="L32" s="5">
        <v>0</v>
      </c>
      <c r="M32" s="3" t="s">
        <v>17</v>
      </c>
      <c r="N32" s="3">
        <v>0</v>
      </c>
      <c r="O32">
        <f t="shared" si="0"/>
        <v>84.000000001396984</v>
      </c>
      <c r="P32">
        <f t="shared" si="1"/>
        <v>200.99999999511056</v>
      </c>
      <c r="Q32">
        <f t="shared" si="2"/>
        <v>-8</v>
      </c>
      <c r="R32" s="11"/>
      <c r="S32" s="11"/>
    </row>
    <row r="33" spans="1:19">
      <c r="A33" s="3">
        <v>2032</v>
      </c>
      <c r="B33" s="3" t="s">
        <v>19</v>
      </c>
      <c r="C33" s="4">
        <v>46212.402777777781</v>
      </c>
      <c r="D33" s="3" t="s">
        <v>22</v>
      </c>
      <c r="E33" s="4">
        <v>46212.475694444445</v>
      </c>
      <c r="F33" s="3">
        <v>90</v>
      </c>
      <c r="G33" s="3">
        <v>149</v>
      </c>
      <c r="H33" s="4">
        <v>46212.64166666667</v>
      </c>
      <c r="I33" s="4">
        <v>46212.65625</v>
      </c>
      <c r="J33" s="3" t="s">
        <v>18</v>
      </c>
      <c r="K33" s="5">
        <v>364</v>
      </c>
      <c r="L33" s="5">
        <v>175</v>
      </c>
      <c r="M33" s="3" t="s">
        <v>24</v>
      </c>
      <c r="N33" s="3">
        <v>90</v>
      </c>
      <c r="O33">
        <f t="shared" si="0"/>
        <v>104.99999999650754</v>
      </c>
      <c r="P33">
        <f t="shared" si="1"/>
        <v>364.99999999534339</v>
      </c>
      <c r="Q33">
        <f t="shared" si="2"/>
        <v>59</v>
      </c>
      <c r="R33" s="11"/>
      <c r="S33" s="11"/>
    </row>
    <row r="34" spans="1:19">
      <c r="A34" s="3">
        <v>2033</v>
      </c>
      <c r="B34" s="3" t="s">
        <v>25</v>
      </c>
      <c r="C34" s="4">
        <v>46212.444444444445</v>
      </c>
      <c r="D34" s="3" t="s">
        <v>22</v>
      </c>
      <c r="E34" s="4">
        <v>46212.506944444445</v>
      </c>
      <c r="F34" s="3">
        <v>240</v>
      </c>
      <c r="G34" s="3">
        <v>234</v>
      </c>
      <c r="H34" s="4">
        <v>46212.69027777778</v>
      </c>
      <c r="I34" s="4">
        <v>46212.720138888886</v>
      </c>
      <c r="J34" s="3" t="s">
        <v>23</v>
      </c>
      <c r="K34" s="5">
        <v>810</v>
      </c>
      <c r="L34" s="5">
        <v>200</v>
      </c>
      <c r="M34" s="3" t="s">
        <v>24</v>
      </c>
      <c r="N34" s="3">
        <v>30</v>
      </c>
      <c r="O34">
        <f t="shared" ref="O34:O65" si="3">(E34-C34)*1440</f>
        <v>90</v>
      </c>
      <c r="P34">
        <f t="shared" ref="P34:P65" si="4">(I34-C34)*1440</f>
        <v>396.99999999487773</v>
      </c>
      <c r="Q34">
        <f t="shared" ref="Q34:Q65" si="5">(G34-F34)</f>
        <v>-6</v>
      </c>
      <c r="R34" s="11"/>
      <c r="S34" s="11"/>
    </row>
    <row r="35" spans="1:19">
      <c r="A35" s="3">
        <v>2034</v>
      </c>
      <c r="B35" s="3" t="s">
        <v>25</v>
      </c>
      <c r="C35" s="4">
        <v>46212.402777777781</v>
      </c>
      <c r="D35" s="3" t="s">
        <v>22</v>
      </c>
      <c r="E35" s="4">
        <v>46212.524305555555</v>
      </c>
      <c r="F35" s="3">
        <v>150</v>
      </c>
      <c r="G35" s="3">
        <v>198</v>
      </c>
      <c r="H35" s="4">
        <v>46212.724305555559</v>
      </c>
      <c r="I35" s="4">
        <v>46212.753472222219</v>
      </c>
      <c r="J35" s="3" t="s">
        <v>18</v>
      </c>
      <c r="K35" s="5">
        <v>871</v>
      </c>
      <c r="L35" s="5">
        <v>275</v>
      </c>
      <c r="M35" s="3" t="s">
        <v>24</v>
      </c>
      <c r="N35" s="3">
        <v>90</v>
      </c>
      <c r="O35">
        <f t="shared" si="3"/>
        <v>174.99999999417923</v>
      </c>
      <c r="P35">
        <f t="shared" si="4"/>
        <v>504.99999999068677</v>
      </c>
      <c r="Q35">
        <f t="shared" si="5"/>
        <v>48</v>
      </c>
      <c r="R35" s="11"/>
      <c r="S35" s="11"/>
    </row>
    <row r="36" spans="1:19">
      <c r="A36" s="3">
        <v>2035</v>
      </c>
      <c r="B36" s="3" t="s">
        <v>25</v>
      </c>
      <c r="C36" s="4">
        <v>46213.40625</v>
      </c>
      <c r="D36" s="3" t="s">
        <v>20</v>
      </c>
      <c r="E36" s="4">
        <v>46213.500694444447</v>
      </c>
      <c r="F36" s="3">
        <v>180</v>
      </c>
      <c r="G36" s="3">
        <v>201</v>
      </c>
      <c r="H36" s="4">
        <v>46213.640277777777</v>
      </c>
      <c r="I36" s="4">
        <v>46213.671527777777</v>
      </c>
      <c r="J36" s="3" t="s">
        <v>18</v>
      </c>
      <c r="K36" s="5">
        <v>1132</v>
      </c>
      <c r="L36" s="5">
        <v>125</v>
      </c>
      <c r="M36" s="3" t="s">
        <v>17</v>
      </c>
      <c r="N36" s="3">
        <v>0</v>
      </c>
      <c r="O36">
        <f t="shared" si="3"/>
        <v>136.00000000325963</v>
      </c>
      <c r="P36">
        <f t="shared" si="4"/>
        <v>381.99999999837019</v>
      </c>
      <c r="Q36">
        <f t="shared" si="5"/>
        <v>21</v>
      </c>
      <c r="R36" s="11"/>
      <c r="S36" s="11"/>
    </row>
    <row r="37" spans="1:19">
      <c r="A37" s="3">
        <v>2036</v>
      </c>
      <c r="B37" s="3" t="s">
        <v>25</v>
      </c>
      <c r="C37" s="4">
        <v>46213.611111111109</v>
      </c>
      <c r="D37" s="3" t="s">
        <v>22</v>
      </c>
      <c r="E37" s="4">
        <v>46213.705555555556</v>
      </c>
      <c r="F37" s="3">
        <v>180</v>
      </c>
      <c r="G37" s="3">
        <v>179</v>
      </c>
      <c r="H37" s="4">
        <v>46213.829861111109</v>
      </c>
      <c r="I37" s="4">
        <v>46213.84375</v>
      </c>
      <c r="J37" s="3" t="s">
        <v>18</v>
      </c>
      <c r="K37" s="5">
        <v>768</v>
      </c>
      <c r="L37" s="5">
        <v>150</v>
      </c>
      <c r="M37" s="3" t="s">
        <v>17</v>
      </c>
      <c r="N37" s="3">
        <v>0</v>
      </c>
      <c r="O37">
        <f t="shared" si="3"/>
        <v>136.00000000325963</v>
      </c>
      <c r="P37">
        <f t="shared" si="4"/>
        <v>335.00000000232831</v>
      </c>
      <c r="Q37">
        <f t="shared" si="5"/>
        <v>-1</v>
      </c>
      <c r="R37" s="11"/>
      <c r="S37" s="11"/>
    </row>
    <row r="38" spans="1:19">
      <c r="A38" s="3">
        <v>2037</v>
      </c>
      <c r="B38" s="3" t="s">
        <v>25</v>
      </c>
      <c r="C38" s="4">
        <v>46213.611111111109</v>
      </c>
      <c r="D38" s="3" t="s">
        <v>15</v>
      </c>
      <c r="E38" s="4">
        <v>46213.705555555556</v>
      </c>
      <c r="F38" s="3">
        <v>120</v>
      </c>
      <c r="G38" s="3">
        <v>110</v>
      </c>
      <c r="H38" s="4">
        <v>46213.781944444447</v>
      </c>
      <c r="I38" s="4">
        <v>46213.799305555556</v>
      </c>
      <c r="J38" s="3" t="s">
        <v>16</v>
      </c>
      <c r="K38" s="5">
        <v>700</v>
      </c>
      <c r="L38" s="5">
        <v>75</v>
      </c>
      <c r="M38" s="3" t="s">
        <v>17</v>
      </c>
      <c r="N38" s="3">
        <v>0</v>
      </c>
      <c r="O38">
        <f t="shared" si="3"/>
        <v>136.00000000325963</v>
      </c>
      <c r="P38">
        <f t="shared" si="4"/>
        <v>271.00000000325963</v>
      </c>
      <c r="Q38">
        <f t="shared" si="5"/>
        <v>-10</v>
      </c>
      <c r="R38" s="11"/>
      <c r="S38" s="11"/>
    </row>
    <row r="39" spans="1:19">
      <c r="A39" s="3">
        <v>2038</v>
      </c>
      <c r="B39" s="3" t="s">
        <v>25</v>
      </c>
      <c r="C39" s="4">
        <v>46213.53125</v>
      </c>
      <c r="D39" s="3" t="s">
        <v>21</v>
      </c>
      <c r="E39" s="4">
        <v>46213.582638888889</v>
      </c>
      <c r="F39" s="3">
        <v>240</v>
      </c>
      <c r="G39" s="3">
        <v>327</v>
      </c>
      <c r="H39" s="4">
        <v>46213.93472222222</v>
      </c>
      <c r="I39" s="4">
        <v>46213.959027777775</v>
      </c>
      <c r="J39" s="3" t="s">
        <v>23</v>
      </c>
      <c r="K39" s="5">
        <v>1285</v>
      </c>
      <c r="L39" s="5">
        <v>150</v>
      </c>
      <c r="M39" s="3" t="s">
        <v>24</v>
      </c>
      <c r="N39" s="3">
        <v>180</v>
      </c>
      <c r="O39">
        <f t="shared" si="3"/>
        <v>74.000000000232831</v>
      </c>
      <c r="P39">
        <f t="shared" si="4"/>
        <v>615.99999999627471</v>
      </c>
      <c r="Q39">
        <f t="shared" si="5"/>
        <v>87</v>
      </c>
      <c r="R39" s="11"/>
      <c r="S39" s="11"/>
    </row>
    <row r="40" spans="1:19">
      <c r="A40" s="3">
        <v>2039</v>
      </c>
      <c r="B40" s="3" t="s">
        <v>19</v>
      </c>
      <c r="C40" s="4">
        <v>46213.364583333336</v>
      </c>
      <c r="D40" s="3" t="s">
        <v>15</v>
      </c>
      <c r="E40" s="4">
        <v>46213.429861111108</v>
      </c>
      <c r="F40" s="3">
        <v>120</v>
      </c>
      <c r="G40" s="3">
        <v>161</v>
      </c>
      <c r="H40" s="4">
        <v>46213.541666666664</v>
      </c>
      <c r="I40" s="4">
        <v>46213.568749999999</v>
      </c>
      <c r="J40" s="3" t="s">
        <v>16</v>
      </c>
      <c r="K40" s="5">
        <v>412</v>
      </c>
      <c r="L40" s="5">
        <v>100</v>
      </c>
      <c r="M40" s="3" t="s">
        <v>17</v>
      </c>
      <c r="N40" s="3">
        <v>0</v>
      </c>
      <c r="O40">
        <f t="shared" si="3"/>
        <v>93.999999992083758</v>
      </c>
      <c r="P40">
        <f t="shared" si="4"/>
        <v>293.99999999441206</v>
      </c>
      <c r="Q40">
        <f t="shared" si="5"/>
        <v>41</v>
      </c>
      <c r="R40" s="11"/>
      <c r="S40" s="11"/>
    </row>
    <row r="41" spans="1:19">
      <c r="A41" s="3">
        <v>2040</v>
      </c>
      <c r="B41" s="3" t="s">
        <v>25</v>
      </c>
      <c r="C41" s="4">
        <v>46213.451388888891</v>
      </c>
      <c r="D41" s="3" t="s">
        <v>20</v>
      </c>
      <c r="E41" s="4">
        <v>46213.523611111108</v>
      </c>
      <c r="F41" s="3">
        <v>240</v>
      </c>
      <c r="G41" s="3">
        <v>277</v>
      </c>
      <c r="H41" s="4">
        <v>46213.71597222222</v>
      </c>
      <c r="I41" s="4">
        <v>46213.729861111111</v>
      </c>
      <c r="J41" s="3" t="s">
        <v>16</v>
      </c>
      <c r="K41" s="5">
        <v>1111</v>
      </c>
      <c r="L41" s="5">
        <v>175</v>
      </c>
      <c r="M41" s="3" t="s">
        <v>17</v>
      </c>
      <c r="N41" s="3">
        <v>0</v>
      </c>
      <c r="O41">
        <f t="shared" si="3"/>
        <v>103.99999999324791</v>
      </c>
      <c r="P41">
        <f t="shared" si="4"/>
        <v>400.99999999743886</v>
      </c>
      <c r="Q41">
        <f t="shared" si="5"/>
        <v>37</v>
      </c>
      <c r="R41" s="11"/>
      <c r="S41" s="11"/>
    </row>
    <row r="42" spans="1:19">
      <c r="A42" s="3">
        <v>2041</v>
      </c>
      <c r="B42" s="3" t="s">
        <v>25</v>
      </c>
      <c r="C42" s="4">
        <v>46213.409722222219</v>
      </c>
      <c r="D42" s="3" t="s">
        <v>20</v>
      </c>
      <c r="E42" s="4">
        <v>46213.48333333333</v>
      </c>
      <c r="F42" s="3">
        <v>150</v>
      </c>
      <c r="G42" s="3">
        <v>193</v>
      </c>
      <c r="H42" s="4">
        <v>46213.617361111108</v>
      </c>
      <c r="I42" s="4">
        <v>46213.647916666669</v>
      </c>
      <c r="J42" s="3" t="s">
        <v>18</v>
      </c>
      <c r="K42" s="5">
        <v>828</v>
      </c>
      <c r="L42" s="5">
        <v>100</v>
      </c>
      <c r="M42" s="3" t="s">
        <v>17</v>
      </c>
      <c r="N42" s="3">
        <v>0</v>
      </c>
      <c r="O42">
        <f t="shared" si="3"/>
        <v>105.99999999976717</v>
      </c>
      <c r="P42">
        <f t="shared" si="4"/>
        <v>343.00000000745058</v>
      </c>
      <c r="Q42">
        <f t="shared" si="5"/>
        <v>43</v>
      </c>
      <c r="R42" s="11"/>
      <c r="S42" s="11"/>
    </row>
    <row r="43" spans="1:19">
      <c r="A43" s="3">
        <v>2042</v>
      </c>
      <c r="B43" s="3" t="s">
        <v>25</v>
      </c>
      <c r="C43" s="4">
        <v>46213.347222222219</v>
      </c>
      <c r="D43" s="3" t="s">
        <v>15</v>
      </c>
      <c r="E43" s="4">
        <v>46213.411111111112</v>
      </c>
      <c r="F43" s="3">
        <v>180</v>
      </c>
      <c r="G43" s="3">
        <v>215</v>
      </c>
      <c r="H43" s="4">
        <v>46213.560416666667</v>
      </c>
      <c r="I43" s="4">
        <v>46213.569444444445</v>
      </c>
      <c r="J43" s="3" t="s">
        <v>23</v>
      </c>
      <c r="K43" s="5">
        <v>1105</v>
      </c>
      <c r="L43" s="5">
        <v>50</v>
      </c>
      <c r="M43" s="3" t="s">
        <v>17</v>
      </c>
      <c r="N43" s="3">
        <v>0</v>
      </c>
      <c r="O43">
        <f t="shared" si="3"/>
        <v>92.000000006519258</v>
      </c>
      <c r="P43">
        <f t="shared" si="4"/>
        <v>320.00000000582077</v>
      </c>
      <c r="Q43">
        <f t="shared" si="5"/>
        <v>35</v>
      </c>
      <c r="R43" s="11"/>
      <c r="S43" s="11"/>
    </row>
    <row r="44" spans="1:19">
      <c r="A44" s="3">
        <v>2043</v>
      </c>
      <c r="B44" s="3" t="s">
        <v>25</v>
      </c>
      <c r="C44" s="4">
        <v>46213.583333333336</v>
      </c>
      <c r="D44" s="3" t="s">
        <v>21</v>
      </c>
      <c r="E44" s="4">
        <v>46213.651388888888</v>
      </c>
      <c r="F44" s="3">
        <v>240</v>
      </c>
      <c r="G44" s="3">
        <v>185</v>
      </c>
      <c r="H44" s="4">
        <v>46213.884027777778</v>
      </c>
      <c r="I44" s="4">
        <v>46213.914583333331</v>
      </c>
      <c r="J44" s="3" t="s">
        <v>16</v>
      </c>
      <c r="K44" s="5">
        <v>855</v>
      </c>
      <c r="L44" s="5">
        <v>250</v>
      </c>
      <c r="M44" s="3" t="s">
        <v>24</v>
      </c>
      <c r="N44" s="3">
        <v>150</v>
      </c>
      <c r="O44">
        <f t="shared" si="3"/>
        <v>97.999999994644895</v>
      </c>
      <c r="P44">
        <f t="shared" si="4"/>
        <v>476.99999999371357</v>
      </c>
      <c r="Q44">
        <f t="shared" si="5"/>
        <v>-55</v>
      </c>
      <c r="R44" s="11"/>
      <c r="S44" s="11"/>
    </row>
    <row r="45" spans="1:19">
      <c r="A45" s="3">
        <v>2044</v>
      </c>
      <c r="B45" s="3" t="s">
        <v>25</v>
      </c>
      <c r="C45" s="4">
        <v>46216.322916666664</v>
      </c>
      <c r="D45" s="3" t="s">
        <v>22</v>
      </c>
      <c r="E45" s="4">
        <v>46216.421527777777</v>
      </c>
      <c r="F45" s="3">
        <v>180</v>
      </c>
      <c r="G45" s="3">
        <v>213</v>
      </c>
      <c r="H45" s="4">
        <v>46216.611111111109</v>
      </c>
      <c r="I45" s="4">
        <v>46216.645138888889</v>
      </c>
      <c r="J45" s="3" t="s">
        <v>16</v>
      </c>
      <c r="K45" s="5">
        <v>719</v>
      </c>
      <c r="L45" s="5">
        <v>250</v>
      </c>
      <c r="M45" s="3" t="s">
        <v>24</v>
      </c>
      <c r="N45" s="3">
        <v>60</v>
      </c>
      <c r="O45">
        <f t="shared" si="3"/>
        <v>142.00000000186265</v>
      </c>
      <c r="P45">
        <f t="shared" si="4"/>
        <v>464.00000000372529</v>
      </c>
      <c r="Q45">
        <f t="shared" si="5"/>
        <v>33</v>
      </c>
      <c r="R45" s="11"/>
      <c r="S45" s="11"/>
    </row>
    <row r="46" spans="1:19">
      <c r="A46" s="3">
        <v>2045</v>
      </c>
      <c r="B46" s="3" t="s">
        <v>25</v>
      </c>
      <c r="C46" s="4">
        <v>46216.364583333336</v>
      </c>
      <c r="D46" s="3" t="s">
        <v>15</v>
      </c>
      <c r="E46" s="4">
        <v>46216.415277777778</v>
      </c>
      <c r="F46" s="3">
        <v>180</v>
      </c>
      <c r="G46" s="3">
        <v>234</v>
      </c>
      <c r="H46" s="4">
        <v>46216.577777777777</v>
      </c>
      <c r="I46" s="4">
        <v>46216.599305555559</v>
      </c>
      <c r="J46" s="3" t="s">
        <v>23</v>
      </c>
      <c r="K46" s="5">
        <v>766</v>
      </c>
      <c r="L46" s="5">
        <v>150</v>
      </c>
      <c r="M46" s="3" t="s">
        <v>17</v>
      </c>
      <c r="N46" s="3">
        <v>0</v>
      </c>
      <c r="O46">
        <f t="shared" si="3"/>
        <v>72.999999996973202</v>
      </c>
      <c r="P46">
        <f t="shared" si="4"/>
        <v>338.00000000162981</v>
      </c>
      <c r="Q46">
        <f t="shared" si="5"/>
        <v>54</v>
      </c>
      <c r="R46" s="11"/>
      <c r="S46" s="11"/>
    </row>
    <row r="47" spans="1:19">
      <c r="A47" s="3">
        <v>2046</v>
      </c>
      <c r="B47" s="3" t="s">
        <v>19</v>
      </c>
      <c r="C47" s="4">
        <v>46216.381944444445</v>
      </c>
      <c r="D47" s="3" t="s">
        <v>22</v>
      </c>
      <c r="E47" s="4">
        <v>46216.410416666666</v>
      </c>
      <c r="F47" s="3">
        <v>120</v>
      </c>
      <c r="G47" s="3">
        <v>151</v>
      </c>
      <c r="H47" s="4">
        <v>46216.515277777777</v>
      </c>
      <c r="I47" s="4">
        <v>46216.525000000001</v>
      </c>
      <c r="J47" s="3" t="s">
        <v>23</v>
      </c>
      <c r="K47" s="5">
        <v>529</v>
      </c>
      <c r="L47" s="5">
        <v>0</v>
      </c>
      <c r="M47" s="3" t="s">
        <v>17</v>
      </c>
      <c r="N47" s="3">
        <v>0</v>
      </c>
      <c r="O47">
        <f t="shared" si="3"/>
        <v>40.999999997438863</v>
      </c>
      <c r="P47">
        <f t="shared" si="4"/>
        <v>206.00000000093132</v>
      </c>
      <c r="Q47">
        <f t="shared" si="5"/>
        <v>31</v>
      </c>
      <c r="R47" s="11"/>
      <c r="S47" s="11"/>
    </row>
    <row r="48" spans="1:19">
      <c r="A48" s="3">
        <v>2047</v>
      </c>
      <c r="B48" s="3" t="s">
        <v>25</v>
      </c>
      <c r="C48" s="4">
        <v>46216.305555555555</v>
      </c>
      <c r="D48" s="3" t="s">
        <v>15</v>
      </c>
      <c r="E48" s="4">
        <v>46216.395138888889</v>
      </c>
      <c r="F48" s="3">
        <v>90</v>
      </c>
      <c r="G48" s="3">
        <v>111</v>
      </c>
      <c r="H48" s="4">
        <v>46216.472222222219</v>
      </c>
      <c r="I48" s="4">
        <v>46216.488194444442</v>
      </c>
      <c r="J48" s="3" t="s">
        <v>23</v>
      </c>
      <c r="K48" s="5">
        <v>1235</v>
      </c>
      <c r="L48" s="5">
        <v>75</v>
      </c>
      <c r="M48" s="3" t="s">
        <v>17</v>
      </c>
      <c r="N48" s="3">
        <v>0</v>
      </c>
      <c r="O48">
        <f t="shared" si="3"/>
        <v>129.00000000139698</v>
      </c>
      <c r="P48">
        <f t="shared" si="4"/>
        <v>262.99999999813735</v>
      </c>
      <c r="Q48">
        <f t="shared" si="5"/>
        <v>21</v>
      </c>
      <c r="R48" s="11"/>
      <c r="S48" s="11"/>
    </row>
    <row r="49" spans="1:19">
      <c r="A49" s="3">
        <v>2048</v>
      </c>
      <c r="B49" s="3" t="s">
        <v>25</v>
      </c>
      <c r="C49" s="4">
        <v>46216.340277777781</v>
      </c>
      <c r="D49" s="3" t="s">
        <v>20</v>
      </c>
      <c r="E49" s="4">
        <v>46216.402083333334</v>
      </c>
      <c r="F49" s="3">
        <v>120</v>
      </c>
      <c r="G49" s="3">
        <v>149</v>
      </c>
      <c r="H49" s="4">
        <v>46216.505555555559</v>
      </c>
      <c r="I49" s="4">
        <v>46216.525694444441</v>
      </c>
      <c r="J49" s="3" t="s">
        <v>23</v>
      </c>
      <c r="K49" s="5">
        <v>660</v>
      </c>
      <c r="L49" s="5">
        <v>100</v>
      </c>
      <c r="M49" s="3" t="s">
        <v>17</v>
      </c>
      <c r="N49" s="3">
        <v>0</v>
      </c>
      <c r="O49">
        <f t="shared" si="3"/>
        <v>88.999999996740371</v>
      </c>
      <c r="P49">
        <f t="shared" si="4"/>
        <v>266.99999999022111</v>
      </c>
      <c r="Q49">
        <f t="shared" si="5"/>
        <v>29</v>
      </c>
      <c r="R49" s="11"/>
      <c r="S49" s="11"/>
    </row>
    <row r="50" spans="1:19">
      <c r="A50" s="3">
        <v>2049</v>
      </c>
      <c r="B50" s="3" t="s">
        <v>19</v>
      </c>
      <c r="C50" s="4">
        <v>46216.472222222219</v>
      </c>
      <c r="D50" s="3" t="s">
        <v>15</v>
      </c>
      <c r="E50" s="4">
        <v>46216.518055555556</v>
      </c>
      <c r="F50" s="3">
        <v>120</v>
      </c>
      <c r="G50" s="3">
        <v>178</v>
      </c>
      <c r="H50" s="4">
        <v>46216.64166666667</v>
      </c>
      <c r="I50" s="4">
        <v>46216.65347222222</v>
      </c>
      <c r="J50" s="3" t="s">
        <v>23</v>
      </c>
      <c r="K50" s="5">
        <v>700</v>
      </c>
      <c r="L50" s="5">
        <v>100</v>
      </c>
      <c r="M50" s="3" t="s">
        <v>17</v>
      </c>
      <c r="N50" s="3">
        <v>0</v>
      </c>
      <c r="O50">
        <f t="shared" si="3"/>
        <v>66.000000005587935</v>
      </c>
      <c r="P50">
        <f t="shared" si="4"/>
        <v>261.00000000209548</v>
      </c>
      <c r="Q50">
        <f t="shared" si="5"/>
        <v>58</v>
      </c>
      <c r="R50" s="11"/>
      <c r="S50" s="11"/>
    </row>
    <row r="51" spans="1:19">
      <c r="A51" s="3">
        <v>2050</v>
      </c>
      <c r="B51" s="3" t="s">
        <v>25</v>
      </c>
      <c r="C51" s="4">
        <v>46216.486111111109</v>
      </c>
      <c r="D51" s="3" t="s">
        <v>15</v>
      </c>
      <c r="E51" s="4">
        <v>46216.521527777775</v>
      </c>
      <c r="F51" s="3">
        <v>150</v>
      </c>
      <c r="G51" s="3">
        <v>203</v>
      </c>
      <c r="H51" s="4">
        <v>46216.693749999999</v>
      </c>
      <c r="I51" s="4">
        <v>46216.719444444447</v>
      </c>
      <c r="J51" s="3" t="s">
        <v>23</v>
      </c>
      <c r="K51" s="5">
        <v>980</v>
      </c>
      <c r="L51" s="5">
        <v>175</v>
      </c>
      <c r="M51" s="3" t="s">
        <v>24</v>
      </c>
      <c r="N51" s="3">
        <v>45</v>
      </c>
      <c r="O51">
        <f t="shared" si="3"/>
        <v>50.999999998603016</v>
      </c>
      <c r="P51">
        <f t="shared" si="4"/>
        <v>336.00000000558794</v>
      </c>
      <c r="Q51">
        <f t="shared" si="5"/>
        <v>53</v>
      </c>
      <c r="R51" s="11"/>
      <c r="S51" s="11"/>
    </row>
    <row r="52" spans="1:19">
      <c r="A52" s="3">
        <v>2051</v>
      </c>
      <c r="B52" s="3" t="s">
        <v>25</v>
      </c>
      <c r="C52" s="4">
        <v>46216.364583333336</v>
      </c>
      <c r="D52" s="3" t="s">
        <v>15</v>
      </c>
      <c r="E52" s="4">
        <v>46216.456944444442</v>
      </c>
      <c r="F52" s="3">
        <v>240</v>
      </c>
      <c r="G52" s="3">
        <v>260</v>
      </c>
      <c r="H52" s="4">
        <v>46216.762499999997</v>
      </c>
      <c r="I52" s="4">
        <v>46216.788194444445</v>
      </c>
      <c r="J52" s="3" t="s">
        <v>18</v>
      </c>
      <c r="K52" s="5">
        <v>1101</v>
      </c>
      <c r="L52" s="5">
        <v>300</v>
      </c>
      <c r="M52" s="3" t="s">
        <v>24</v>
      </c>
      <c r="N52" s="3">
        <v>180</v>
      </c>
      <c r="O52">
        <f t="shared" si="3"/>
        <v>132.99999999348074</v>
      </c>
      <c r="P52">
        <f t="shared" si="4"/>
        <v>609.99999999767169</v>
      </c>
      <c r="Q52">
        <f t="shared" si="5"/>
        <v>20</v>
      </c>
      <c r="R52" s="11"/>
      <c r="S52" s="11"/>
    </row>
    <row r="53" spans="1:19">
      <c r="A53" s="3">
        <v>2052</v>
      </c>
      <c r="B53" s="3" t="s">
        <v>14</v>
      </c>
      <c r="C53" s="4">
        <v>46216.354166666664</v>
      </c>
      <c r="D53" s="3" t="s">
        <v>21</v>
      </c>
      <c r="E53" s="4">
        <v>46216.384722222225</v>
      </c>
      <c r="F53" s="3">
        <v>60</v>
      </c>
      <c r="G53" s="3">
        <v>88</v>
      </c>
      <c r="H53" s="4">
        <v>46216.445833333331</v>
      </c>
      <c r="I53" s="4">
        <v>46216.469444444447</v>
      </c>
      <c r="J53" s="3" t="s">
        <v>18</v>
      </c>
      <c r="K53" s="5">
        <v>325</v>
      </c>
      <c r="L53" s="5">
        <v>0</v>
      </c>
      <c r="M53" s="3" t="s">
        <v>17</v>
      </c>
      <c r="N53" s="3">
        <v>0</v>
      </c>
      <c r="O53">
        <f t="shared" si="3"/>
        <v>44.00000000721775</v>
      </c>
      <c r="P53">
        <f t="shared" si="4"/>
        <v>166.00000000675209</v>
      </c>
      <c r="Q53">
        <f t="shared" si="5"/>
        <v>28</v>
      </c>
      <c r="R53" s="11"/>
      <c r="S53" s="11"/>
    </row>
    <row r="54" spans="1:19">
      <c r="A54" s="3">
        <v>2053</v>
      </c>
      <c r="B54" s="3" t="s">
        <v>19</v>
      </c>
      <c r="C54" s="4">
        <v>46217.368055555555</v>
      </c>
      <c r="D54" s="3" t="s">
        <v>15</v>
      </c>
      <c r="E54" s="4">
        <v>46217.422222222223</v>
      </c>
      <c r="F54" s="3">
        <v>90</v>
      </c>
      <c r="G54" s="3">
        <v>101</v>
      </c>
      <c r="H54" s="4">
        <v>46217.492361111108</v>
      </c>
      <c r="I54" s="4">
        <v>46217.522222222222</v>
      </c>
      <c r="J54" s="3" t="s">
        <v>23</v>
      </c>
      <c r="K54" s="5">
        <v>491</v>
      </c>
      <c r="L54" s="5">
        <v>0</v>
      </c>
      <c r="M54" s="3" t="s">
        <v>17</v>
      </c>
      <c r="N54" s="3">
        <v>0</v>
      </c>
      <c r="O54">
        <f t="shared" si="3"/>
        <v>78.000000002793968</v>
      </c>
      <c r="P54">
        <f t="shared" si="4"/>
        <v>222.00000000069849</v>
      </c>
      <c r="Q54">
        <f t="shared" si="5"/>
        <v>11</v>
      </c>
      <c r="R54" s="11"/>
      <c r="S54" s="11"/>
    </row>
    <row r="55" spans="1:19">
      <c r="A55" s="3">
        <v>2054</v>
      </c>
      <c r="B55" s="3" t="s">
        <v>14</v>
      </c>
      <c r="C55" s="4">
        <v>46217.493055555555</v>
      </c>
      <c r="D55" s="3" t="s">
        <v>20</v>
      </c>
      <c r="E55" s="4">
        <v>46217.524305555555</v>
      </c>
      <c r="F55" s="3">
        <v>60</v>
      </c>
      <c r="G55" s="3">
        <v>81</v>
      </c>
      <c r="H55" s="4">
        <v>46217.580555555556</v>
      </c>
      <c r="I55" s="4">
        <v>46217.606944444444</v>
      </c>
      <c r="J55" s="3" t="s">
        <v>23</v>
      </c>
      <c r="K55" s="5">
        <v>345</v>
      </c>
      <c r="L55" s="5">
        <v>0</v>
      </c>
      <c r="M55" s="3" t="s">
        <v>17</v>
      </c>
      <c r="N55" s="3">
        <v>0</v>
      </c>
      <c r="O55">
        <f t="shared" si="3"/>
        <v>45</v>
      </c>
      <c r="P55">
        <f t="shared" si="4"/>
        <v>164.00000000023283</v>
      </c>
      <c r="Q55">
        <f t="shared" si="5"/>
        <v>21</v>
      </c>
      <c r="R55" s="11"/>
      <c r="S55" s="11"/>
    </row>
    <row r="56" spans="1:19">
      <c r="A56" s="3">
        <v>2055</v>
      </c>
      <c r="B56" s="3" t="s">
        <v>14</v>
      </c>
      <c r="C56" s="4">
        <v>46217.40625</v>
      </c>
      <c r="D56" s="3" t="s">
        <v>20</v>
      </c>
      <c r="E56" s="4">
        <v>46217.442361111112</v>
      </c>
      <c r="F56" s="3">
        <v>75</v>
      </c>
      <c r="G56" s="3">
        <v>63</v>
      </c>
      <c r="H56" s="4">
        <v>46217.486111111109</v>
      </c>
      <c r="I56" s="4">
        <v>46217.517361111109</v>
      </c>
      <c r="J56" s="3" t="s">
        <v>18</v>
      </c>
      <c r="K56" s="5">
        <v>268</v>
      </c>
      <c r="L56" s="5">
        <v>0</v>
      </c>
      <c r="M56" s="3" t="s">
        <v>17</v>
      </c>
      <c r="N56" s="3">
        <v>0</v>
      </c>
      <c r="O56">
        <f t="shared" si="3"/>
        <v>52.000000001862645</v>
      </c>
      <c r="P56">
        <f t="shared" si="4"/>
        <v>159.99999999767169</v>
      </c>
      <c r="Q56">
        <f t="shared" si="5"/>
        <v>-12</v>
      </c>
      <c r="R56" s="11"/>
      <c r="S56" s="11"/>
    </row>
    <row r="57" spans="1:19">
      <c r="A57" s="3">
        <v>2056</v>
      </c>
      <c r="B57" s="3" t="s">
        <v>25</v>
      </c>
      <c r="C57" s="4">
        <v>46217.395833333336</v>
      </c>
      <c r="D57" s="3" t="s">
        <v>15</v>
      </c>
      <c r="E57" s="4">
        <v>46217.494444444441</v>
      </c>
      <c r="F57" s="3">
        <v>90</v>
      </c>
      <c r="G57" s="3">
        <v>133</v>
      </c>
      <c r="H57" s="4">
        <v>46217.586805555555</v>
      </c>
      <c r="I57" s="4">
        <v>46217.617361111108</v>
      </c>
      <c r="J57" s="3" t="s">
        <v>18</v>
      </c>
      <c r="K57" s="5">
        <v>747</v>
      </c>
      <c r="L57" s="5">
        <v>100</v>
      </c>
      <c r="M57" s="3" t="s">
        <v>17</v>
      </c>
      <c r="N57" s="3">
        <v>0</v>
      </c>
      <c r="O57">
        <f t="shared" si="3"/>
        <v>141.99999999138527</v>
      </c>
      <c r="P57">
        <f t="shared" si="4"/>
        <v>318.99999999208376</v>
      </c>
      <c r="Q57">
        <f t="shared" si="5"/>
        <v>43</v>
      </c>
      <c r="R57" s="11"/>
      <c r="S57" s="11"/>
    </row>
    <row r="58" spans="1:19">
      <c r="A58" s="3">
        <v>2057</v>
      </c>
      <c r="B58" s="3" t="s">
        <v>14</v>
      </c>
      <c r="C58" s="4">
        <v>46217.520833333336</v>
      </c>
      <c r="D58" s="3" t="s">
        <v>20</v>
      </c>
      <c r="E58" s="4">
        <v>46217.535416666666</v>
      </c>
      <c r="F58" s="3">
        <v>75</v>
      </c>
      <c r="G58" s="3">
        <v>82</v>
      </c>
      <c r="H58" s="4">
        <v>46217.592361111114</v>
      </c>
      <c r="I58" s="4">
        <v>46217.599305555559</v>
      </c>
      <c r="J58" s="3" t="s">
        <v>23</v>
      </c>
      <c r="K58" s="5">
        <v>272</v>
      </c>
      <c r="L58" s="5">
        <v>0</v>
      </c>
      <c r="M58" s="3" t="s">
        <v>17</v>
      </c>
      <c r="N58" s="3">
        <v>0</v>
      </c>
      <c r="O58">
        <f t="shared" si="3"/>
        <v>20.999999995110556</v>
      </c>
      <c r="P58">
        <f t="shared" si="4"/>
        <v>113.00000000162981</v>
      </c>
      <c r="Q58">
        <f t="shared" si="5"/>
        <v>7</v>
      </c>
      <c r="R58" s="11"/>
      <c r="S58" s="11"/>
    </row>
    <row r="59" spans="1:19">
      <c r="A59" s="3">
        <v>2058</v>
      </c>
      <c r="B59" s="3" t="s">
        <v>14</v>
      </c>
      <c r="C59" s="4">
        <v>46217.291666666664</v>
      </c>
      <c r="D59" s="3" t="s">
        <v>20</v>
      </c>
      <c r="E59" s="4">
        <v>46217.329861111109</v>
      </c>
      <c r="F59" s="3">
        <v>60</v>
      </c>
      <c r="G59" s="3">
        <v>50</v>
      </c>
      <c r="H59" s="4">
        <v>46217.364583333336</v>
      </c>
      <c r="I59" s="4">
        <v>46217.375694444447</v>
      </c>
      <c r="J59" s="3" t="s">
        <v>23</v>
      </c>
      <c r="K59" s="5">
        <v>402</v>
      </c>
      <c r="L59" s="5">
        <v>0</v>
      </c>
      <c r="M59" s="3" t="s">
        <v>17</v>
      </c>
      <c r="N59" s="3">
        <v>0</v>
      </c>
      <c r="O59">
        <f t="shared" si="3"/>
        <v>55.000000001164153</v>
      </c>
      <c r="P59">
        <f t="shared" si="4"/>
        <v>121.00000000675209</v>
      </c>
      <c r="Q59">
        <f t="shared" si="5"/>
        <v>-10</v>
      </c>
      <c r="R59" s="11"/>
      <c r="S59" s="11"/>
    </row>
    <row r="60" spans="1:19">
      <c r="A60" s="3">
        <v>2059</v>
      </c>
      <c r="B60" s="3" t="s">
        <v>25</v>
      </c>
      <c r="C60" s="4">
        <v>46217.534722222219</v>
      </c>
      <c r="D60" s="3" t="s">
        <v>22</v>
      </c>
      <c r="E60" s="4">
        <v>46217.573611111111</v>
      </c>
      <c r="F60" s="3">
        <v>120</v>
      </c>
      <c r="G60" s="3">
        <v>133</v>
      </c>
      <c r="H60" s="4">
        <v>46217.770138888889</v>
      </c>
      <c r="I60" s="4">
        <v>46217.798611111109</v>
      </c>
      <c r="J60" s="3" t="s">
        <v>16</v>
      </c>
      <c r="K60" s="5">
        <v>666</v>
      </c>
      <c r="L60" s="5">
        <v>150</v>
      </c>
      <c r="M60" s="3" t="s">
        <v>24</v>
      </c>
      <c r="N60" s="3">
        <v>150</v>
      </c>
      <c r="O60">
        <f t="shared" si="3"/>
        <v>56.000000004423782</v>
      </c>
      <c r="P60">
        <f t="shared" si="4"/>
        <v>380.00000000232831</v>
      </c>
      <c r="Q60">
        <f t="shared" si="5"/>
        <v>13</v>
      </c>
      <c r="R60" s="11"/>
      <c r="S60" s="11"/>
    </row>
    <row r="61" spans="1:19">
      <c r="A61" s="3">
        <v>2060</v>
      </c>
      <c r="B61" s="3" t="s">
        <v>14</v>
      </c>
      <c r="C61" s="4">
        <v>46217.354166666664</v>
      </c>
      <c r="D61" s="3" t="s">
        <v>15</v>
      </c>
      <c r="E61" s="4">
        <v>46217.369444444441</v>
      </c>
      <c r="F61" s="3">
        <v>60</v>
      </c>
      <c r="G61" s="3">
        <v>91</v>
      </c>
      <c r="H61" s="4">
        <v>46217.432638888888</v>
      </c>
      <c r="I61" s="4">
        <v>46217.46597222222</v>
      </c>
      <c r="J61" s="3" t="s">
        <v>16</v>
      </c>
      <c r="K61" s="5">
        <v>322</v>
      </c>
      <c r="L61" s="5">
        <v>0</v>
      </c>
      <c r="M61" s="3" t="s">
        <v>17</v>
      </c>
      <c r="N61" s="3">
        <v>0</v>
      </c>
      <c r="O61">
        <f t="shared" si="3"/>
        <v>21.999999998370185</v>
      </c>
      <c r="P61">
        <f t="shared" si="4"/>
        <v>161.00000000093132</v>
      </c>
      <c r="Q61">
        <f t="shared" si="5"/>
        <v>31</v>
      </c>
      <c r="R61" s="11"/>
      <c r="S61" s="11"/>
    </row>
    <row r="62" spans="1:19">
      <c r="A62" s="3">
        <v>2061</v>
      </c>
      <c r="B62" s="3" t="s">
        <v>25</v>
      </c>
      <c r="C62" s="4">
        <v>46217.572916666664</v>
      </c>
      <c r="D62" s="3" t="s">
        <v>22</v>
      </c>
      <c r="E62" s="4">
        <v>46217.634027777778</v>
      </c>
      <c r="F62" s="3">
        <v>180</v>
      </c>
      <c r="G62" s="3">
        <v>269</v>
      </c>
      <c r="H62" s="4">
        <v>46217.820833333331</v>
      </c>
      <c r="I62" s="4">
        <v>46217.829861111109</v>
      </c>
      <c r="J62" s="3" t="s">
        <v>18</v>
      </c>
      <c r="K62" s="5">
        <v>862</v>
      </c>
      <c r="L62" s="5">
        <v>200</v>
      </c>
      <c r="M62" s="3" t="s">
        <v>17</v>
      </c>
      <c r="N62" s="3">
        <v>0</v>
      </c>
      <c r="O62">
        <f t="shared" si="3"/>
        <v>88.000000003958121</v>
      </c>
      <c r="P62">
        <f t="shared" si="4"/>
        <v>370.00000000116415</v>
      </c>
      <c r="Q62">
        <f t="shared" si="5"/>
        <v>89</v>
      </c>
      <c r="R62" s="11"/>
      <c r="S62" s="11"/>
    </row>
    <row r="63" spans="1:19">
      <c r="A63" s="3">
        <v>2062</v>
      </c>
      <c r="B63" s="3" t="s">
        <v>25</v>
      </c>
      <c r="C63" s="4">
        <v>46217.395833333336</v>
      </c>
      <c r="D63" s="3" t="s">
        <v>20</v>
      </c>
      <c r="E63" s="4">
        <v>46217.451388888891</v>
      </c>
      <c r="F63" s="3">
        <v>120</v>
      </c>
      <c r="G63" s="3">
        <v>60</v>
      </c>
      <c r="H63" s="4">
        <v>46217.493055555555</v>
      </c>
      <c r="I63" s="4">
        <v>46217.506944444445</v>
      </c>
      <c r="J63" s="3" t="s">
        <v>18</v>
      </c>
      <c r="K63" s="5">
        <v>727</v>
      </c>
      <c r="L63" s="5">
        <v>0</v>
      </c>
      <c r="M63" s="3" t="s">
        <v>17</v>
      </c>
      <c r="N63" s="3">
        <v>0</v>
      </c>
      <c r="O63">
        <f t="shared" si="3"/>
        <v>79.999999998835847</v>
      </c>
      <c r="P63">
        <f t="shared" si="4"/>
        <v>159.99999999767169</v>
      </c>
      <c r="Q63">
        <f t="shared" si="5"/>
        <v>-60</v>
      </c>
      <c r="R63" s="11"/>
      <c r="S63" s="11"/>
    </row>
    <row r="64" spans="1:19">
      <c r="A64" s="3">
        <v>2063</v>
      </c>
      <c r="B64" s="3" t="s">
        <v>25</v>
      </c>
      <c r="C64" s="4">
        <v>46218.520833333336</v>
      </c>
      <c r="D64" s="3" t="s">
        <v>15</v>
      </c>
      <c r="E64" s="4">
        <v>46218.665277777778</v>
      </c>
      <c r="F64" s="3">
        <v>150</v>
      </c>
      <c r="G64" s="3">
        <v>153</v>
      </c>
      <c r="H64" s="4">
        <v>46218.823611111111</v>
      </c>
      <c r="I64" s="4">
        <v>46218.849305555559</v>
      </c>
      <c r="J64" s="3" t="s">
        <v>16</v>
      </c>
      <c r="K64" s="5">
        <v>622</v>
      </c>
      <c r="L64" s="5">
        <v>200</v>
      </c>
      <c r="M64" s="3" t="s">
        <v>24</v>
      </c>
      <c r="N64" s="3">
        <v>75</v>
      </c>
      <c r="O64">
        <f t="shared" si="3"/>
        <v>207.9999999969732</v>
      </c>
      <c r="P64">
        <f t="shared" si="4"/>
        <v>473.00000000162981</v>
      </c>
      <c r="Q64">
        <f t="shared" si="5"/>
        <v>3</v>
      </c>
      <c r="R64" s="11"/>
      <c r="S64" s="11"/>
    </row>
    <row r="65" spans="1:19">
      <c r="A65" s="3">
        <v>2064</v>
      </c>
      <c r="B65" s="3" t="s">
        <v>19</v>
      </c>
      <c r="C65" s="4">
        <v>46218.340277777781</v>
      </c>
      <c r="D65" s="3" t="s">
        <v>15</v>
      </c>
      <c r="E65" s="4">
        <v>46218.429166666669</v>
      </c>
      <c r="F65" s="3">
        <v>90</v>
      </c>
      <c r="G65" s="3">
        <v>156</v>
      </c>
      <c r="H65" s="4">
        <v>46218.537499999999</v>
      </c>
      <c r="I65" s="4">
        <v>46218.561805555553</v>
      </c>
      <c r="J65" s="3" t="s">
        <v>16</v>
      </c>
      <c r="K65" s="5">
        <v>574</v>
      </c>
      <c r="L65" s="5">
        <v>75</v>
      </c>
      <c r="M65" s="3" t="s">
        <v>17</v>
      </c>
      <c r="N65" s="3">
        <v>0</v>
      </c>
      <c r="O65">
        <f t="shared" si="3"/>
        <v>127.99999999813735</v>
      </c>
      <c r="P65">
        <f t="shared" si="4"/>
        <v>318.99999999208376</v>
      </c>
      <c r="Q65">
        <f t="shared" si="5"/>
        <v>66</v>
      </c>
      <c r="R65" s="11"/>
      <c r="S65" s="11"/>
    </row>
    <row r="66" spans="1:19">
      <c r="A66" s="3">
        <v>2065</v>
      </c>
      <c r="B66" s="3" t="s">
        <v>25</v>
      </c>
      <c r="C66" s="4">
        <v>46218.333333333336</v>
      </c>
      <c r="D66" s="3" t="s">
        <v>21</v>
      </c>
      <c r="E66" s="4">
        <v>46218.456944444442</v>
      </c>
      <c r="F66" s="3">
        <v>150</v>
      </c>
      <c r="G66" s="3">
        <v>167</v>
      </c>
      <c r="H66" s="4">
        <v>46218.59375</v>
      </c>
      <c r="I66" s="4">
        <v>46218.612500000003</v>
      </c>
      <c r="J66" s="3" t="s">
        <v>23</v>
      </c>
      <c r="K66" s="5">
        <v>1240</v>
      </c>
      <c r="L66" s="5">
        <v>150</v>
      </c>
      <c r="M66" s="3" t="s">
        <v>24</v>
      </c>
      <c r="N66" s="3">
        <v>30</v>
      </c>
      <c r="O66">
        <f t="shared" ref="O66:O97" si="6">(E66-C66)*1440</f>
        <v>177.99999999348074</v>
      </c>
      <c r="P66">
        <f t="shared" ref="P66:P97" si="7">(I66-C66)*1440</f>
        <v>402.00000000069849</v>
      </c>
      <c r="Q66">
        <f t="shared" ref="Q66:Q97" si="8">(G66-F66)</f>
        <v>17</v>
      </c>
      <c r="R66" s="11"/>
      <c r="S66" s="11"/>
    </row>
    <row r="67" spans="1:19">
      <c r="A67" s="3">
        <v>2066</v>
      </c>
      <c r="B67" s="3" t="s">
        <v>14</v>
      </c>
      <c r="C67" s="4">
        <v>46218.576388888891</v>
      </c>
      <c r="D67" s="3" t="s">
        <v>21</v>
      </c>
      <c r="E67" s="4">
        <v>46218.643750000003</v>
      </c>
      <c r="F67" s="3">
        <v>60</v>
      </c>
      <c r="G67" s="3">
        <v>67</v>
      </c>
      <c r="H67" s="4">
        <v>46218.69027777778</v>
      </c>
      <c r="I67" s="4">
        <v>46218.700694444444</v>
      </c>
      <c r="J67" s="3" t="s">
        <v>16</v>
      </c>
      <c r="K67" s="5">
        <v>291</v>
      </c>
      <c r="L67" s="5">
        <v>0</v>
      </c>
      <c r="M67" s="3" t="s">
        <v>17</v>
      </c>
      <c r="N67" s="3">
        <v>0</v>
      </c>
      <c r="O67">
        <f t="shared" si="6"/>
        <v>97.000000001862645</v>
      </c>
      <c r="P67">
        <f t="shared" si="7"/>
        <v>178.99999999674037</v>
      </c>
      <c r="Q67">
        <f t="shared" si="8"/>
        <v>7</v>
      </c>
      <c r="R67" s="11"/>
      <c r="S67" s="11"/>
    </row>
    <row r="68" spans="1:19">
      <c r="A68" s="3">
        <v>2067</v>
      </c>
      <c r="B68" s="3" t="s">
        <v>25</v>
      </c>
      <c r="C68" s="4">
        <v>46218.423611111109</v>
      </c>
      <c r="D68" s="3" t="s">
        <v>21</v>
      </c>
      <c r="E68" s="4">
        <v>46218.529861111114</v>
      </c>
      <c r="F68" s="3">
        <v>150</v>
      </c>
      <c r="G68" s="3">
        <v>157</v>
      </c>
      <c r="H68" s="4">
        <v>46218.659722222219</v>
      </c>
      <c r="I68" s="4">
        <v>46218.686805555553</v>
      </c>
      <c r="J68" s="3" t="s">
        <v>18</v>
      </c>
      <c r="K68" s="5">
        <v>960</v>
      </c>
      <c r="L68" s="5">
        <v>125</v>
      </c>
      <c r="M68" s="3" t="s">
        <v>24</v>
      </c>
      <c r="N68" s="3">
        <v>30</v>
      </c>
      <c r="O68">
        <f t="shared" si="6"/>
        <v>153.00000000628643</v>
      </c>
      <c r="P68">
        <f t="shared" si="7"/>
        <v>378.99999999906868</v>
      </c>
      <c r="Q68">
        <f t="shared" si="8"/>
        <v>7</v>
      </c>
      <c r="R68" s="11"/>
      <c r="S68" s="11"/>
    </row>
    <row r="69" spans="1:19">
      <c r="A69" s="3">
        <v>2068</v>
      </c>
      <c r="B69" s="3" t="s">
        <v>14</v>
      </c>
      <c r="C69" s="4">
        <v>46218.458333333336</v>
      </c>
      <c r="D69" s="3" t="s">
        <v>20</v>
      </c>
      <c r="E69" s="4">
        <v>46218.508333333331</v>
      </c>
      <c r="F69" s="3">
        <v>90</v>
      </c>
      <c r="G69" s="3">
        <v>80</v>
      </c>
      <c r="H69" s="4">
        <v>46218.563888888886</v>
      </c>
      <c r="I69" s="4">
        <v>46218.597916666666</v>
      </c>
      <c r="J69" s="3" t="s">
        <v>23</v>
      </c>
      <c r="K69" s="5">
        <v>193</v>
      </c>
      <c r="L69" s="5">
        <v>0</v>
      </c>
      <c r="M69" s="3" t="s">
        <v>17</v>
      </c>
      <c r="N69" s="3">
        <v>0</v>
      </c>
      <c r="O69">
        <f t="shared" si="6"/>
        <v>71.999999993713573</v>
      </c>
      <c r="P69">
        <f t="shared" si="7"/>
        <v>200.99999999511056</v>
      </c>
      <c r="Q69">
        <f t="shared" si="8"/>
        <v>-10</v>
      </c>
      <c r="R69" s="11"/>
      <c r="S69" s="11"/>
    </row>
    <row r="70" spans="1:19">
      <c r="A70" s="3">
        <v>2069</v>
      </c>
      <c r="B70" s="3" t="s">
        <v>25</v>
      </c>
      <c r="C70" s="4">
        <v>46218.305555555555</v>
      </c>
      <c r="D70" s="3" t="s">
        <v>15</v>
      </c>
      <c r="E70" s="4">
        <v>46218.406944444447</v>
      </c>
      <c r="F70" s="3">
        <v>120</v>
      </c>
      <c r="G70" s="3">
        <v>84</v>
      </c>
      <c r="H70" s="4">
        <v>46218.465277777781</v>
      </c>
      <c r="I70" s="4">
        <v>46218.482638888891</v>
      </c>
      <c r="J70" s="3" t="s">
        <v>18</v>
      </c>
      <c r="K70" s="5">
        <v>674</v>
      </c>
      <c r="L70" s="5">
        <v>100</v>
      </c>
      <c r="M70" s="3" t="s">
        <v>17</v>
      </c>
      <c r="N70" s="3">
        <v>0</v>
      </c>
      <c r="O70">
        <f t="shared" si="6"/>
        <v>146.00000000442378</v>
      </c>
      <c r="P70">
        <f t="shared" si="7"/>
        <v>255.00000000349246</v>
      </c>
      <c r="Q70">
        <f t="shared" si="8"/>
        <v>-36</v>
      </c>
      <c r="R70" s="11"/>
      <c r="S70" s="11"/>
    </row>
    <row r="71" spans="1:19">
      <c r="A71" s="3">
        <v>2070</v>
      </c>
      <c r="B71" s="3" t="s">
        <v>25</v>
      </c>
      <c r="C71" s="4">
        <v>46218.572916666664</v>
      </c>
      <c r="D71" s="3" t="s">
        <v>15</v>
      </c>
      <c r="E71" s="4">
        <v>46218.693055555559</v>
      </c>
      <c r="F71" s="3">
        <v>90</v>
      </c>
      <c r="G71" s="3">
        <v>121</v>
      </c>
      <c r="H71" s="4">
        <v>46218.777083333334</v>
      </c>
      <c r="I71" s="4">
        <v>46218.796527777777</v>
      </c>
      <c r="J71" s="3" t="s">
        <v>23</v>
      </c>
      <c r="K71" s="5">
        <v>670</v>
      </c>
      <c r="L71" s="5">
        <v>100</v>
      </c>
      <c r="M71" s="3" t="s">
        <v>17</v>
      </c>
      <c r="N71" s="3">
        <v>0</v>
      </c>
      <c r="O71">
        <f t="shared" si="6"/>
        <v>173.00000000861473</v>
      </c>
      <c r="P71">
        <f t="shared" si="7"/>
        <v>322.00000000186265</v>
      </c>
      <c r="Q71">
        <f t="shared" si="8"/>
        <v>31</v>
      </c>
      <c r="R71" s="11"/>
      <c r="S71" s="11"/>
    </row>
    <row r="72" spans="1:19">
      <c r="A72" s="3">
        <v>2071</v>
      </c>
      <c r="B72" s="3" t="s">
        <v>25</v>
      </c>
      <c r="C72" s="4">
        <v>46218.534722222219</v>
      </c>
      <c r="D72" s="3" t="s">
        <v>15</v>
      </c>
      <c r="E72" s="4">
        <v>46218.628472222219</v>
      </c>
      <c r="F72" s="3">
        <v>240</v>
      </c>
      <c r="G72" s="3">
        <v>209</v>
      </c>
      <c r="H72" s="4">
        <v>46218.836111111108</v>
      </c>
      <c r="I72" s="4">
        <v>46218.861111111109</v>
      </c>
      <c r="J72" s="3" t="s">
        <v>23</v>
      </c>
      <c r="K72" s="5">
        <v>1070</v>
      </c>
      <c r="L72" s="5">
        <v>275</v>
      </c>
      <c r="M72" s="3" t="s">
        <v>24</v>
      </c>
      <c r="N72" s="3">
        <v>90</v>
      </c>
      <c r="O72">
        <f t="shared" si="6"/>
        <v>135</v>
      </c>
      <c r="P72">
        <f t="shared" si="7"/>
        <v>470.00000000232831</v>
      </c>
      <c r="Q72">
        <f t="shared" si="8"/>
        <v>-31</v>
      </c>
      <c r="R72" s="11"/>
      <c r="S72" s="11"/>
    </row>
    <row r="73" spans="1:19">
      <c r="A73" s="3">
        <v>2072</v>
      </c>
      <c r="B73" s="3" t="s">
        <v>14</v>
      </c>
      <c r="C73" s="4">
        <v>46218.409722222219</v>
      </c>
      <c r="D73" s="3" t="s">
        <v>21</v>
      </c>
      <c r="E73" s="4">
        <v>46218.46875</v>
      </c>
      <c r="F73" s="3">
        <v>90</v>
      </c>
      <c r="G73" s="3">
        <v>114</v>
      </c>
      <c r="H73" s="4">
        <v>46218.54791666667</v>
      </c>
      <c r="I73" s="4">
        <v>46218.578472222223</v>
      </c>
      <c r="J73" s="3" t="s">
        <v>16</v>
      </c>
      <c r="K73" s="5">
        <v>303</v>
      </c>
      <c r="L73" s="5">
        <v>75</v>
      </c>
      <c r="M73" s="3" t="s">
        <v>17</v>
      </c>
      <c r="N73" s="3">
        <v>0</v>
      </c>
      <c r="O73">
        <f t="shared" si="6"/>
        <v>85.000000004656613</v>
      </c>
      <c r="P73">
        <f t="shared" si="7"/>
        <v>243.00000000628643</v>
      </c>
      <c r="Q73">
        <f t="shared" si="8"/>
        <v>24</v>
      </c>
      <c r="R73" s="11"/>
      <c r="S73" s="11"/>
    </row>
    <row r="74" spans="1:19">
      <c r="A74" s="3">
        <v>2073</v>
      </c>
      <c r="B74" s="3" t="s">
        <v>19</v>
      </c>
      <c r="C74" s="4">
        <v>46219.40625</v>
      </c>
      <c r="D74" s="3" t="s">
        <v>15</v>
      </c>
      <c r="E74" s="4">
        <v>46219.452777777777</v>
      </c>
      <c r="F74" s="3">
        <v>90</v>
      </c>
      <c r="G74" s="3">
        <v>96</v>
      </c>
      <c r="H74" s="4">
        <v>46219.561111111114</v>
      </c>
      <c r="I74" s="4">
        <v>46219.589583333334</v>
      </c>
      <c r="J74" s="3" t="s">
        <v>18</v>
      </c>
      <c r="K74" s="5">
        <v>545</v>
      </c>
      <c r="L74" s="5">
        <v>50</v>
      </c>
      <c r="M74" s="3" t="s">
        <v>24</v>
      </c>
      <c r="N74" s="3">
        <v>60</v>
      </c>
      <c r="O74">
        <f t="shared" si="6"/>
        <v>66.999999998370185</v>
      </c>
      <c r="P74">
        <f t="shared" si="7"/>
        <v>264.00000000139698</v>
      </c>
      <c r="Q74">
        <f t="shared" si="8"/>
        <v>6</v>
      </c>
      <c r="R74" s="11"/>
      <c r="S74" s="11"/>
    </row>
    <row r="75" spans="1:19">
      <c r="A75" s="3">
        <v>2074</v>
      </c>
      <c r="B75" s="3" t="s">
        <v>19</v>
      </c>
      <c r="C75" s="4">
        <v>46219.423611111109</v>
      </c>
      <c r="D75" s="3" t="s">
        <v>21</v>
      </c>
      <c r="E75" s="4">
        <v>46219.456250000003</v>
      </c>
      <c r="F75" s="3">
        <v>90</v>
      </c>
      <c r="G75" s="3">
        <v>133</v>
      </c>
      <c r="H75" s="4">
        <v>46219.569444444445</v>
      </c>
      <c r="I75" s="4">
        <v>46219.582638888889</v>
      </c>
      <c r="J75" s="3" t="s">
        <v>16</v>
      </c>
      <c r="K75" s="5">
        <v>619</v>
      </c>
      <c r="L75" s="5">
        <v>0</v>
      </c>
      <c r="M75" s="3" t="s">
        <v>24</v>
      </c>
      <c r="N75" s="3">
        <v>30</v>
      </c>
      <c r="O75">
        <f t="shared" si="6"/>
        <v>47.000000006519258</v>
      </c>
      <c r="P75">
        <f t="shared" si="7"/>
        <v>229.00000000256114</v>
      </c>
      <c r="Q75">
        <f t="shared" si="8"/>
        <v>43</v>
      </c>
      <c r="R75" s="11"/>
      <c r="S75" s="11"/>
    </row>
    <row r="76" spans="1:19">
      <c r="A76" s="3">
        <v>2075</v>
      </c>
      <c r="B76" s="3" t="s">
        <v>25</v>
      </c>
      <c r="C76" s="4">
        <v>46219.340277777781</v>
      </c>
      <c r="D76" s="3" t="s">
        <v>22</v>
      </c>
      <c r="E76" s="4">
        <v>46219.404861111114</v>
      </c>
      <c r="F76" s="3">
        <v>150</v>
      </c>
      <c r="G76" s="3">
        <v>142</v>
      </c>
      <c r="H76" s="4">
        <v>46219.607638888891</v>
      </c>
      <c r="I76" s="4">
        <v>46219.628472222219</v>
      </c>
      <c r="J76" s="3" t="s">
        <v>23</v>
      </c>
      <c r="K76" s="5">
        <v>632</v>
      </c>
      <c r="L76" s="5">
        <v>200</v>
      </c>
      <c r="M76" s="3" t="s">
        <v>24</v>
      </c>
      <c r="N76" s="3">
        <v>150</v>
      </c>
      <c r="O76">
        <f t="shared" si="6"/>
        <v>92.999999999301508</v>
      </c>
      <c r="P76">
        <f t="shared" si="7"/>
        <v>414.99999999068677</v>
      </c>
      <c r="Q76">
        <f t="shared" si="8"/>
        <v>-8</v>
      </c>
      <c r="R76" s="11"/>
      <c r="S76" s="11"/>
    </row>
    <row r="77" spans="1:19">
      <c r="A77" s="3">
        <v>2076</v>
      </c>
      <c r="B77" s="3" t="s">
        <v>25</v>
      </c>
      <c r="C77" s="4">
        <v>46219.541666666664</v>
      </c>
      <c r="D77" s="3" t="s">
        <v>22</v>
      </c>
      <c r="E77" s="4">
        <v>46219.631944444445</v>
      </c>
      <c r="F77" s="3">
        <v>120</v>
      </c>
      <c r="G77" s="3">
        <v>109</v>
      </c>
      <c r="H77" s="4">
        <v>46219.759722222225</v>
      </c>
      <c r="I77" s="4">
        <v>46219.770138888889</v>
      </c>
      <c r="J77" s="3" t="s">
        <v>23</v>
      </c>
      <c r="K77" s="5">
        <v>1250</v>
      </c>
      <c r="L77" s="5">
        <v>75</v>
      </c>
      <c r="M77" s="3" t="s">
        <v>24</v>
      </c>
      <c r="N77" s="3">
        <v>75</v>
      </c>
      <c r="O77">
        <f t="shared" si="6"/>
        <v>130.00000000465661</v>
      </c>
      <c r="P77">
        <f t="shared" si="7"/>
        <v>329.00000000372529</v>
      </c>
      <c r="Q77">
        <f t="shared" si="8"/>
        <v>-11</v>
      </c>
      <c r="R77" s="11"/>
      <c r="S77" s="11"/>
    </row>
    <row r="78" spans="1:19">
      <c r="A78" s="3">
        <v>2077</v>
      </c>
      <c r="B78" s="3" t="s">
        <v>25</v>
      </c>
      <c r="C78" s="4">
        <v>46219.368055555555</v>
      </c>
      <c r="D78" s="3" t="s">
        <v>15</v>
      </c>
      <c r="E78" s="4">
        <v>46219.42291666667</v>
      </c>
      <c r="F78" s="3">
        <v>150</v>
      </c>
      <c r="G78" s="3">
        <v>227</v>
      </c>
      <c r="H78" s="4">
        <v>46219.580555555556</v>
      </c>
      <c r="I78" s="4">
        <v>46219.59375</v>
      </c>
      <c r="J78" s="3" t="s">
        <v>16</v>
      </c>
      <c r="K78" s="5">
        <v>850</v>
      </c>
      <c r="L78" s="5">
        <v>50</v>
      </c>
      <c r="M78" s="3" t="s">
        <v>17</v>
      </c>
      <c r="N78" s="3">
        <v>0</v>
      </c>
      <c r="O78">
        <f t="shared" si="6"/>
        <v>79.000000006053597</v>
      </c>
      <c r="P78">
        <f t="shared" si="7"/>
        <v>325.00000000116415</v>
      </c>
      <c r="Q78">
        <f t="shared" si="8"/>
        <v>77</v>
      </c>
      <c r="R78" s="11"/>
      <c r="S78" s="11"/>
    </row>
    <row r="79" spans="1:19">
      <c r="A79" s="3">
        <v>2078</v>
      </c>
      <c r="B79" s="3" t="s">
        <v>25</v>
      </c>
      <c r="C79" s="4">
        <v>46219.34375</v>
      </c>
      <c r="D79" s="3" t="s">
        <v>15</v>
      </c>
      <c r="E79" s="4">
        <v>46219.427083333336</v>
      </c>
      <c r="F79" s="3">
        <v>240</v>
      </c>
      <c r="G79" s="3">
        <v>286</v>
      </c>
      <c r="H79" s="4">
        <v>46219.625694444447</v>
      </c>
      <c r="I79" s="4">
        <v>46219.658333333333</v>
      </c>
      <c r="J79" s="3" t="s">
        <v>16</v>
      </c>
      <c r="K79" s="5">
        <v>1184</v>
      </c>
      <c r="L79" s="5">
        <v>200</v>
      </c>
      <c r="M79" s="3" t="s">
        <v>17</v>
      </c>
      <c r="N79" s="3">
        <v>0</v>
      </c>
      <c r="O79">
        <f t="shared" si="6"/>
        <v>120.00000000349246</v>
      </c>
      <c r="P79">
        <f t="shared" si="7"/>
        <v>452.99999999930151</v>
      </c>
      <c r="Q79">
        <f t="shared" si="8"/>
        <v>46</v>
      </c>
      <c r="R79" s="11"/>
      <c r="S79" s="11"/>
    </row>
    <row r="80" spans="1:19">
      <c r="A80" s="3">
        <v>2079</v>
      </c>
      <c r="B80" s="3" t="s">
        <v>25</v>
      </c>
      <c r="C80" s="4">
        <v>46219.326388888891</v>
      </c>
      <c r="D80" s="3" t="s">
        <v>21</v>
      </c>
      <c r="E80" s="4">
        <v>46219.375</v>
      </c>
      <c r="F80" s="3">
        <v>240</v>
      </c>
      <c r="G80" s="3">
        <v>344</v>
      </c>
      <c r="H80" s="4">
        <v>46219.613888888889</v>
      </c>
      <c r="I80" s="4">
        <v>46219.63958333333</v>
      </c>
      <c r="J80" s="3" t="s">
        <v>23</v>
      </c>
      <c r="K80" s="5">
        <v>1151</v>
      </c>
      <c r="L80" s="5">
        <v>275</v>
      </c>
      <c r="M80" s="3" t="s">
        <v>17</v>
      </c>
      <c r="N80" s="3">
        <v>0</v>
      </c>
      <c r="O80">
        <f t="shared" si="6"/>
        <v>69.999999997671694</v>
      </c>
      <c r="P80">
        <f t="shared" si="7"/>
        <v>450.99999999278225</v>
      </c>
      <c r="Q80">
        <f t="shared" si="8"/>
        <v>104</v>
      </c>
      <c r="R80" s="11"/>
      <c r="S80" s="11"/>
    </row>
    <row r="81" spans="1:19">
      <c r="A81" s="3">
        <v>2080</v>
      </c>
      <c r="B81" s="3" t="s">
        <v>14</v>
      </c>
      <c r="C81" s="4">
        <v>46219.493055555555</v>
      </c>
      <c r="D81" s="3" t="s">
        <v>15</v>
      </c>
      <c r="E81" s="4">
        <v>46219.551388888889</v>
      </c>
      <c r="F81" s="3">
        <v>90</v>
      </c>
      <c r="G81" s="3">
        <v>107</v>
      </c>
      <c r="H81" s="4">
        <v>46219.625694444447</v>
      </c>
      <c r="I81" s="4">
        <v>46219.645138888889</v>
      </c>
      <c r="J81" s="3" t="s">
        <v>18</v>
      </c>
      <c r="K81" s="5">
        <v>271</v>
      </c>
      <c r="L81" s="5">
        <v>0</v>
      </c>
      <c r="M81" s="3" t="s">
        <v>17</v>
      </c>
      <c r="N81" s="3">
        <v>0</v>
      </c>
      <c r="O81">
        <f t="shared" si="6"/>
        <v>84.000000001396984</v>
      </c>
      <c r="P81">
        <f t="shared" si="7"/>
        <v>219.00000000139698</v>
      </c>
      <c r="Q81">
        <f t="shared" si="8"/>
        <v>17</v>
      </c>
      <c r="R81" s="11"/>
      <c r="S81" s="11"/>
    </row>
    <row r="82" spans="1:19">
      <c r="A82" s="3">
        <v>2081</v>
      </c>
      <c r="B82" s="3" t="s">
        <v>19</v>
      </c>
      <c r="C82" s="4">
        <v>46219.479166666664</v>
      </c>
      <c r="D82" s="3" t="s">
        <v>15</v>
      </c>
      <c r="E82" s="4">
        <v>46219.522916666669</v>
      </c>
      <c r="F82" s="3">
        <v>120</v>
      </c>
      <c r="G82" s="3">
        <v>178</v>
      </c>
      <c r="H82" s="4">
        <v>46219.646527777775</v>
      </c>
      <c r="I82" s="4">
        <v>46219.668749999997</v>
      </c>
      <c r="J82" s="3" t="s">
        <v>16</v>
      </c>
      <c r="K82" s="5">
        <v>496</v>
      </c>
      <c r="L82" s="5">
        <v>50</v>
      </c>
      <c r="M82" s="3" t="s">
        <v>17</v>
      </c>
      <c r="N82" s="3">
        <v>0</v>
      </c>
      <c r="O82">
        <f t="shared" si="6"/>
        <v>63.000000006286427</v>
      </c>
      <c r="P82">
        <f t="shared" si="7"/>
        <v>272.99999999930151</v>
      </c>
      <c r="Q82">
        <f t="shared" si="8"/>
        <v>58</v>
      </c>
      <c r="R82" s="11"/>
      <c r="S82" s="11"/>
    </row>
    <row r="83" spans="1:19">
      <c r="A83" s="3">
        <v>2082</v>
      </c>
      <c r="B83" s="3" t="s">
        <v>25</v>
      </c>
      <c r="C83" s="4">
        <v>46220.340277777781</v>
      </c>
      <c r="D83" s="3" t="s">
        <v>21</v>
      </c>
      <c r="E83" s="4">
        <v>46220.402083333334</v>
      </c>
      <c r="F83" s="3">
        <v>90</v>
      </c>
      <c r="G83" s="3">
        <v>69</v>
      </c>
      <c r="H83" s="4">
        <v>46220.45</v>
      </c>
      <c r="I83" s="4">
        <v>46220.472916666666</v>
      </c>
      <c r="J83" s="3" t="s">
        <v>23</v>
      </c>
      <c r="K83" s="5">
        <v>1001</v>
      </c>
      <c r="L83" s="5">
        <v>0</v>
      </c>
      <c r="M83" s="3" t="s">
        <v>17</v>
      </c>
      <c r="N83" s="3">
        <v>0</v>
      </c>
      <c r="O83">
        <f t="shared" si="6"/>
        <v>88.999999996740371</v>
      </c>
      <c r="P83">
        <f t="shared" si="7"/>
        <v>190.9999999939464</v>
      </c>
      <c r="Q83">
        <f t="shared" si="8"/>
        <v>-21</v>
      </c>
      <c r="R83" s="11"/>
      <c r="S83" s="11"/>
    </row>
    <row r="84" spans="1:19">
      <c r="A84" s="3">
        <v>2083</v>
      </c>
      <c r="B84" s="3" t="s">
        <v>14</v>
      </c>
      <c r="C84" s="4">
        <v>46220.402777777781</v>
      </c>
      <c r="D84" s="3" t="s">
        <v>20</v>
      </c>
      <c r="E84" s="4">
        <v>46220.421527777777</v>
      </c>
      <c r="F84" s="3">
        <v>60</v>
      </c>
      <c r="G84" s="3">
        <v>73</v>
      </c>
      <c r="H84" s="4">
        <v>46220.472222222219</v>
      </c>
      <c r="I84" s="4">
        <v>46220.490972222222</v>
      </c>
      <c r="J84" s="3" t="s">
        <v>23</v>
      </c>
      <c r="K84" s="5">
        <v>273</v>
      </c>
      <c r="L84" s="5">
        <v>0</v>
      </c>
      <c r="M84" s="3" t="s">
        <v>17</v>
      </c>
      <c r="N84" s="3">
        <v>0</v>
      </c>
      <c r="O84">
        <f t="shared" si="6"/>
        <v>26.999999993713573</v>
      </c>
      <c r="P84">
        <f t="shared" si="7"/>
        <v>126.99999999487773</v>
      </c>
      <c r="Q84">
        <f t="shared" si="8"/>
        <v>13</v>
      </c>
      <c r="R84" s="11"/>
      <c r="S84" s="11"/>
    </row>
    <row r="85" spans="1:19">
      <c r="A85" s="3">
        <v>2084</v>
      </c>
      <c r="B85" s="3" t="s">
        <v>14</v>
      </c>
      <c r="C85" s="4">
        <v>46220.520833333336</v>
      </c>
      <c r="D85" s="3" t="s">
        <v>20</v>
      </c>
      <c r="E85" s="4">
        <v>46220.536111111112</v>
      </c>
      <c r="F85" s="3">
        <v>75</v>
      </c>
      <c r="G85" s="3">
        <v>90</v>
      </c>
      <c r="H85" s="4">
        <v>46220.640277777777</v>
      </c>
      <c r="I85" s="4">
        <v>46220.656944444447</v>
      </c>
      <c r="J85" s="3" t="s">
        <v>23</v>
      </c>
      <c r="K85" s="5">
        <v>299</v>
      </c>
      <c r="L85" s="5">
        <v>0</v>
      </c>
      <c r="M85" s="3" t="s">
        <v>24</v>
      </c>
      <c r="N85" s="3">
        <v>60</v>
      </c>
      <c r="O85">
        <f t="shared" si="6"/>
        <v>21.999999998370185</v>
      </c>
      <c r="P85">
        <f t="shared" si="7"/>
        <v>195.99999999976717</v>
      </c>
      <c r="Q85">
        <f t="shared" si="8"/>
        <v>15</v>
      </c>
      <c r="R85" s="11"/>
      <c r="S85" s="11"/>
    </row>
    <row r="86" spans="1:19">
      <c r="A86" s="3">
        <v>2085</v>
      </c>
      <c r="B86" s="3" t="s">
        <v>25</v>
      </c>
      <c r="C86" s="4">
        <v>46220.486111111109</v>
      </c>
      <c r="D86" s="3" t="s">
        <v>15</v>
      </c>
      <c r="E86" s="4">
        <v>46220.521527777775</v>
      </c>
      <c r="F86" s="3">
        <v>180</v>
      </c>
      <c r="G86" s="3">
        <v>199</v>
      </c>
      <c r="H86" s="4">
        <v>46220.722222222219</v>
      </c>
      <c r="I86" s="4">
        <v>46220.754861111112</v>
      </c>
      <c r="J86" s="3" t="s">
        <v>23</v>
      </c>
      <c r="K86" s="5">
        <v>927</v>
      </c>
      <c r="L86" s="5">
        <v>175</v>
      </c>
      <c r="M86" s="3" t="s">
        <v>24</v>
      </c>
      <c r="N86" s="3">
        <v>90</v>
      </c>
      <c r="O86">
        <f t="shared" si="6"/>
        <v>50.999999998603016</v>
      </c>
      <c r="P86">
        <f t="shared" si="7"/>
        <v>387.00000000419095</v>
      </c>
      <c r="Q86">
        <f t="shared" si="8"/>
        <v>19</v>
      </c>
      <c r="R86" s="11"/>
      <c r="S86" s="11"/>
    </row>
    <row r="87" spans="1:19">
      <c r="A87" s="3">
        <v>2086</v>
      </c>
      <c r="B87" s="3" t="s">
        <v>14</v>
      </c>
      <c r="C87" s="4">
        <v>46220.409722222219</v>
      </c>
      <c r="D87" s="3" t="s">
        <v>15</v>
      </c>
      <c r="E87" s="4">
        <v>46220.447222222225</v>
      </c>
      <c r="F87" s="3">
        <v>75</v>
      </c>
      <c r="G87" s="3">
        <v>84</v>
      </c>
      <c r="H87" s="4">
        <v>46220.505555555559</v>
      </c>
      <c r="I87" s="4">
        <v>46220.540277777778</v>
      </c>
      <c r="J87" s="3" t="s">
        <v>23</v>
      </c>
      <c r="K87" s="5">
        <v>236</v>
      </c>
      <c r="L87" s="5">
        <v>0</v>
      </c>
      <c r="M87" s="3" t="s">
        <v>17</v>
      </c>
      <c r="N87" s="3">
        <v>0</v>
      </c>
      <c r="O87">
        <f t="shared" si="6"/>
        <v>54.000000008381903</v>
      </c>
      <c r="P87">
        <f t="shared" si="7"/>
        <v>188.00000000512227</v>
      </c>
      <c r="Q87">
        <f t="shared" si="8"/>
        <v>9</v>
      </c>
      <c r="R87" s="11"/>
      <c r="S87" s="11"/>
    </row>
    <row r="88" spans="1:19">
      <c r="A88" s="3">
        <v>2087</v>
      </c>
      <c r="B88" s="3" t="s">
        <v>19</v>
      </c>
      <c r="C88" s="4">
        <v>46220.40625</v>
      </c>
      <c r="D88" s="3" t="s">
        <v>15</v>
      </c>
      <c r="E88" s="4">
        <v>46220.433333333334</v>
      </c>
      <c r="F88" s="3">
        <v>60</v>
      </c>
      <c r="G88" s="3">
        <v>62</v>
      </c>
      <c r="H88" s="4">
        <v>46220.476388888892</v>
      </c>
      <c r="I88" s="4">
        <v>46220.506944444445</v>
      </c>
      <c r="J88" s="3" t="s">
        <v>18</v>
      </c>
      <c r="K88" s="5">
        <v>399</v>
      </c>
      <c r="L88" s="5">
        <v>0</v>
      </c>
      <c r="M88" s="3" t="s">
        <v>17</v>
      </c>
      <c r="N88" s="3">
        <v>0</v>
      </c>
      <c r="O88">
        <f t="shared" si="6"/>
        <v>39.000000001396984</v>
      </c>
      <c r="P88">
        <f t="shared" si="7"/>
        <v>145.00000000116415</v>
      </c>
      <c r="Q88">
        <f t="shared" si="8"/>
        <v>2</v>
      </c>
      <c r="R88" s="11"/>
      <c r="S88" s="11"/>
    </row>
    <row r="89" spans="1:19">
      <c r="A89" s="3">
        <v>2088</v>
      </c>
      <c r="B89" s="3" t="s">
        <v>25</v>
      </c>
      <c r="C89" s="4">
        <v>46220.572916666664</v>
      </c>
      <c r="D89" s="3" t="s">
        <v>20</v>
      </c>
      <c r="E89" s="4">
        <v>46220.644444444442</v>
      </c>
      <c r="F89" s="3">
        <v>120</v>
      </c>
      <c r="G89" s="3">
        <v>172</v>
      </c>
      <c r="H89" s="4">
        <v>46220.763888888891</v>
      </c>
      <c r="I89" s="4">
        <v>46220.792361111111</v>
      </c>
      <c r="J89" s="3" t="s">
        <v>16</v>
      </c>
      <c r="K89" s="5">
        <v>1220</v>
      </c>
      <c r="L89" s="5">
        <v>100</v>
      </c>
      <c r="M89" s="3" t="s">
        <v>17</v>
      </c>
      <c r="N89" s="3">
        <v>0</v>
      </c>
      <c r="O89">
        <f t="shared" si="6"/>
        <v>103.00000000046566</v>
      </c>
      <c r="P89">
        <f t="shared" si="7"/>
        <v>316.00000000325963</v>
      </c>
      <c r="Q89">
        <f t="shared" si="8"/>
        <v>52</v>
      </c>
      <c r="R89" s="11"/>
      <c r="S89" s="11"/>
    </row>
    <row r="90" spans="1:19">
      <c r="A90" s="3">
        <v>2089</v>
      </c>
      <c r="B90" s="3" t="s">
        <v>19</v>
      </c>
      <c r="C90" s="4">
        <v>46220.319444444445</v>
      </c>
      <c r="D90" s="3" t="s">
        <v>15</v>
      </c>
      <c r="E90" s="4">
        <v>46220.364583333336</v>
      </c>
      <c r="F90" s="3">
        <v>90</v>
      </c>
      <c r="G90" s="3">
        <v>115</v>
      </c>
      <c r="H90" s="4">
        <v>46220.444444444445</v>
      </c>
      <c r="I90" s="4">
        <v>46220.466666666667</v>
      </c>
      <c r="J90" s="3" t="s">
        <v>18</v>
      </c>
      <c r="K90" s="5">
        <v>701</v>
      </c>
      <c r="L90" s="5">
        <v>0</v>
      </c>
      <c r="M90" s="3" t="s">
        <v>17</v>
      </c>
      <c r="N90" s="3">
        <v>0</v>
      </c>
      <c r="O90">
        <f t="shared" si="6"/>
        <v>65.000000002328306</v>
      </c>
      <c r="P90">
        <f t="shared" si="7"/>
        <v>211.99999999953434</v>
      </c>
      <c r="Q90">
        <f t="shared" si="8"/>
        <v>25</v>
      </c>
      <c r="R90" s="11"/>
      <c r="S90" s="11"/>
    </row>
    <row r="91" spans="1:19">
      <c r="A91" s="3">
        <v>2090</v>
      </c>
      <c r="B91" s="3" t="s">
        <v>14</v>
      </c>
      <c r="C91" s="4">
        <v>46220.368055555555</v>
      </c>
      <c r="D91" s="3" t="s">
        <v>15</v>
      </c>
      <c r="E91" s="4">
        <v>46220.40625</v>
      </c>
      <c r="F91" s="3">
        <v>60</v>
      </c>
      <c r="G91" s="3">
        <v>55</v>
      </c>
      <c r="H91" s="4">
        <v>46220.465277777781</v>
      </c>
      <c r="I91" s="4">
        <v>46220.486805555556</v>
      </c>
      <c r="J91" s="3" t="s">
        <v>18</v>
      </c>
      <c r="K91" s="5">
        <v>332</v>
      </c>
      <c r="L91" s="5">
        <v>0</v>
      </c>
      <c r="M91" s="3" t="s">
        <v>24</v>
      </c>
      <c r="N91" s="3">
        <v>30</v>
      </c>
      <c r="O91">
        <f t="shared" si="6"/>
        <v>55.000000001164153</v>
      </c>
      <c r="P91">
        <f t="shared" si="7"/>
        <v>171.00000000209548</v>
      </c>
      <c r="Q91">
        <f t="shared" si="8"/>
        <v>-5</v>
      </c>
      <c r="R91" s="11"/>
      <c r="S91" s="11"/>
    </row>
    <row r="92" spans="1:19">
      <c r="A92" s="3">
        <v>2091</v>
      </c>
      <c r="B92" s="3" t="s">
        <v>19</v>
      </c>
      <c r="C92" s="4">
        <v>46223.381944444445</v>
      </c>
      <c r="D92" s="3" t="s">
        <v>21</v>
      </c>
      <c r="E92" s="4">
        <v>46223.424305555556</v>
      </c>
      <c r="F92" s="3">
        <v>120</v>
      </c>
      <c r="G92" s="3">
        <v>104</v>
      </c>
      <c r="H92" s="4">
        <v>46223.496527777781</v>
      </c>
      <c r="I92" s="4">
        <v>46223.509722222225</v>
      </c>
      <c r="J92" s="3" t="s">
        <v>23</v>
      </c>
      <c r="K92" s="5">
        <v>469</v>
      </c>
      <c r="L92" s="5">
        <v>0</v>
      </c>
      <c r="M92" s="3" t="s">
        <v>17</v>
      </c>
      <c r="N92" s="3">
        <v>0</v>
      </c>
      <c r="O92">
        <f t="shared" si="6"/>
        <v>60.999999999767169</v>
      </c>
      <c r="P92">
        <f t="shared" si="7"/>
        <v>184.00000000256114</v>
      </c>
      <c r="Q92">
        <f t="shared" si="8"/>
        <v>-16</v>
      </c>
      <c r="R92" s="11"/>
      <c r="S92" s="11"/>
    </row>
    <row r="93" spans="1:19">
      <c r="A93" s="3">
        <v>2092</v>
      </c>
      <c r="B93" s="3" t="s">
        <v>25</v>
      </c>
      <c r="C93" s="4">
        <v>46223.385416666664</v>
      </c>
      <c r="D93" s="3" t="s">
        <v>21</v>
      </c>
      <c r="E93" s="4">
        <v>46223.442361111112</v>
      </c>
      <c r="F93" s="3">
        <v>240</v>
      </c>
      <c r="G93" s="3">
        <v>235</v>
      </c>
      <c r="H93" s="4">
        <v>46223.605555555558</v>
      </c>
      <c r="I93" s="4">
        <v>46223.613194444442</v>
      </c>
      <c r="J93" s="3" t="s">
        <v>18</v>
      </c>
      <c r="K93" s="5">
        <v>728</v>
      </c>
      <c r="L93" s="5">
        <v>50</v>
      </c>
      <c r="M93" s="3" t="s">
        <v>17</v>
      </c>
      <c r="N93" s="3">
        <v>0</v>
      </c>
      <c r="O93">
        <f t="shared" si="6"/>
        <v>82.000000005355105</v>
      </c>
      <c r="P93">
        <f t="shared" si="7"/>
        <v>328.00000000046566</v>
      </c>
      <c r="Q93">
        <f t="shared" si="8"/>
        <v>-5</v>
      </c>
      <c r="R93" s="11"/>
      <c r="S93" s="11"/>
    </row>
    <row r="94" spans="1:19">
      <c r="A94" s="3">
        <v>2093</v>
      </c>
      <c r="B94" s="3" t="s">
        <v>19</v>
      </c>
      <c r="C94" s="4">
        <v>46223.402777777781</v>
      </c>
      <c r="D94" s="3" t="s">
        <v>15</v>
      </c>
      <c r="E94" s="4">
        <v>46223.431250000001</v>
      </c>
      <c r="F94" s="3">
        <v>90</v>
      </c>
      <c r="G94" s="3">
        <v>126</v>
      </c>
      <c r="H94" s="4">
        <v>46223.643750000003</v>
      </c>
      <c r="I94" s="4">
        <v>46223.670138888891</v>
      </c>
      <c r="J94" s="3" t="s">
        <v>16</v>
      </c>
      <c r="K94" s="5">
        <v>408</v>
      </c>
      <c r="L94" s="5">
        <v>175</v>
      </c>
      <c r="M94" s="3" t="s">
        <v>24</v>
      </c>
      <c r="N94" s="3">
        <v>180</v>
      </c>
      <c r="O94">
        <f t="shared" si="6"/>
        <v>40.999999997438863</v>
      </c>
      <c r="P94">
        <f t="shared" si="7"/>
        <v>384.99999999767169</v>
      </c>
      <c r="Q94">
        <f t="shared" si="8"/>
        <v>36</v>
      </c>
      <c r="R94" s="11"/>
      <c r="S94" s="11"/>
    </row>
    <row r="95" spans="1:19">
      <c r="A95" s="3">
        <v>2094</v>
      </c>
      <c r="B95" s="3" t="s">
        <v>25</v>
      </c>
      <c r="C95" s="4">
        <v>46223.375</v>
      </c>
      <c r="D95" s="3" t="s">
        <v>20</v>
      </c>
      <c r="E95" s="4">
        <v>46223.436111111114</v>
      </c>
      <c r="F95" s="3">
        <v>240</v>
      </c>
      <c r="G95" s="3">
        <v>294</v>
      </c>
      <c r="H95" s="4">
        <v>46223.661111111112</v>
      </c>
      <c r="I95" s="4">
        <v>46223.670138888891</v>
      </c>
      <c r="J95" s="3" t="s">
        <v>23</v>
      </c>
      <c r="K95" s="5">
        <v>1019</v>
      </c>
      <c r="L95" s="5">
        <v>250</v>
      </c>
      <c r="M95" s="3" t="s">
        <v>24</v>
      </c>
      <c r="N95" s="3">
        <v>30</v>
      </c>
      <c r="O95">
        <f t="shared" si="6"/>
        <v>88.000000003958121</v>
      </c>
      <c r="P95">
        <f t="shared" si="7"/>
        <v>425.00000000232831</v>
      </c>
      <c r="Q95">
        <f t="shared" si="8"/>
        <v>54</v>
      </c>
      <c r="R95" s="11"/>
      <c r="S95" s="11"/>
    </row>
    <row r="96" spans="1:19">
      <c r="A96" s="3">
        <v>2095</v>
      </c>
      <c r="B96" s="3" t="s">
        <v>25</v>
      </c>
      <c r="C96" s="4">
        <v>46223.506944444445</v>
      </c>
      <c r="D96" s="3" t="s">
        <v>21</v>
      </c>
      <c r="E96" s="4">
        <v>46223.595138888886</v>
      </c>
      <c r="F96" s="3">
        <v>150</v>
      </c>
      <c r="G96" s="3">
        <v>178</v>
      </c>
      <c r="H96" s="4">
        <v>46223.802083333336</v>
      </c>
      <c r="I96" s="4">
        <v>46223.825694444444</v>
      </c>
      <c r="J96" s="3" t="s">
        <v>16</v>
      </c>
      <c r="K96" s="5">
        <v>1189</v>
      </c>
      <c r="L96" s="5">
        <v>300</v>
      </c>
      <c r="M96" s="3" t="s">
        <v>24</v>
      </c>
      <c r="N96" s="3">
        <v>120</v>
      </c>
      <c r="O96">
        <f t="shared" si="6"/>
        <v>126.99999999487773</v>
      </c>
      <c r="P96">
        <f t="shared" si="7"/>
        <v>458.99999999790452</v>
      </c>
      <c r="Q96">
        <f t="shared" si="8"/>
        <v>28</v>
      </c>
      <c r="R96" s="11"/>
      <c r="S96" s="11"/>
    </row>
    <row r="97" spans="1:19">
      <c r="A97" s="3">
        <v>2096</v>
      </c>
      <c r="B97" s="3" t="s">
        <v>25</v>
      </c>
      <c r="C97" s="4">
        <v>46223.340277777781</v>
      </c>
      <c r="D97" s="3" t="s">
        <v>21</v>
      </c>
      <c r="E97" s="4">
        <v>46223.438888888886</v>
      </c>
      <c r="F97" s="3">
        <v>240</v>
      </c>
      <c r="G97" s="3">
        <v>283</v>
      </c>
      <c r="H97" s="4">
        <v>46223.635416666664</v>
      </c>
      <c r="I97" s="4">
        <v>46223.652083333334</v>
      </c>
      <c r="J97" s="3" t="s">
        <v>16</v>
      </c>
      <c r="K97" s="5">
        <v>770</v>
      </c>
      <c r="L97" s="5">
        <v>250</v>
      </c>
      <c r="M97" s="3" t="s">
        <v>17</v>
      </c>
      <c r="N97" s="3">
        <v>0</v>
      </c>
      <c r="O97">
        <f t="shared" si="6"/>
        <v>141.99999999138527</v>
      </c>
      <c r="P97">
        <f t="shared" si="7"/>
        <v>448.99999999674037</v>
      </c>
      <c r="Q97">
        <f t="shared" si="8"/>
        <v>43</v>
      </c>
      <c r="R97" s="11"/>
      <c r="S97" s="11"/>
    </row>
    <row r="98" spans="1:19">
      <c r="A98" s="3">
        <v>2097</v>
      </c>
      <c r="B98" s="3" t="s">
        <v>25</v>
      </c>
      <c r="C98" s="4">
        <v>46223.447916666664</v>
      </c>
      <c r="D98" s="3" t="s">
        <v>22</v>
      </c>
      <c r="E98" s="4">
        <v>46223.515277777777</v>
      </c>
      <c r="F98" s="3">
        <v>150</v>
      </c>
      <c r="G98" s="3">
        <v>219</v>
      </c>
      <c r="H98" s="4">
        <v>46223.667361111111</v>
      </c>
      <c r="I98" s="4">
        <v>46223.677777777775</v>
      </c>
      <c r="J98" s="3" t="s">
        <v>18</v>
      </c>
      <c r="K98" s="5">
        <v>1035</v>
      </c>
      <c r="L98" s="5">
        <v>125</v>
      </c>
      <c r="M98" s="3" t="s">
        <v>17</v>
      </c>
      <c r="N98" s="3">
        <v>0</v>
      </c>
      <c r="O98">
        <f t="shared" ref="O98:O133" si="9">(E98-C98)*1440</f>
        <v>97.000000001862645</v>
      </c>
      <c r="P98">
        <f t="shared" ref="P98:P133" si="10">(I98-C98)*1440</f>
        <v>330.99999999976717</v>
      </c>
      <c r="Q98">
        <f t="shared" ref="Q98:Q133" si="11">(G98-F98)</f>
        <v>69</v>
      </c>
      <c r="R98" s="11"/>
      <c r="S98" s="11"/>
    </row>
    <row r="99" spans="1:19">
      <c r="A99" s="3">
        <v>2098</v>
      </c>
      <c r="B99" s="3" t="s">
        <v>25</v>
      </c>
      <c r="C99" s="4">
        <v>46223.333333333336</v>
      </c>
      <c r="D99" s="3" t="s">
        <v>20</v>
      </c>
      <c r="E99" s="4">
        <v>46223.417361111111</v>
      </c>
      <c r="F99" s="3">
        <v>240</v>
      </c>
      <c r="G99" s="3">
        <v>253</v>
      </c>
      <c r="H99" s="4">
        <v>46223.697222222225</v>
      </c>
      <c r="I99" s="4">
        <v>46223.719444444447</v>
      </c>
      <c r="J99" s="3" t="s">
        <v>23</v>
      </c>
      <c r="K99" s="5">
        <v>887</v>
      </c>
      <c r="L99" s="5">
        <v>225</v>
      </c>
      <c r="M99" s="3" t="s">
        <v>24</v>
      </c>
      <c r="N99" s="3">
        <v>150</v>
      </c>
      <c r="O99">
        <f t="shared" si="9"/>
        <v>120.99999999627471</v>
      </c>
      <c r="P99">
        <f t="shared" si="10"/>
        <v>555.99999999976717</v>
      </c>
      <c r="Q99">
        <f t="shared" si="11"/>
        <v>13</v>
      </c>
      <c r="R99" s="11"/>
      <c r="S99" s="11"/>
    </row>
    <row r="100" spans="1:19">
      <c r="A100" s="3">
        <v>2099</v>
      </c>
      <c r="B100" s="3" t="s">
        <v>25</v>
      </c>
      <c r="C100" s="4">
        <v>46224.597222222219</v>
      </c>
      <c r="D100" s="3" t="s">
        <v>15</v>
      </c>
      <c r="E100" s="4">
        <v>46224.651388888888</v>
      </c>
      <c r="F100" s="3">
        <v>180</v>
      </c>
      <c r="G100" s="3">
        <v>220</v>
      </c>
      <c r="H100" s="4">
        <v>46224.804166666669</v>
      </c>
      <c r="I100" s="4">
        <v>46224.822916666664</v>
      </c>
      <c r="J100" s="3" t="s">
        <v>18</v>
      </c>
      <c r="K100" s="5">
        <v>1119</v>
      </c>
      <c r="L100" s="5">
        <v>100</v>
      </c>
      <c r="M100" s="3" t="s">
        <v>17</v>
      </c>
      <c r="N100" s="3">
        <v>0</v>
      </c>
      <c r="O100">
        <f t="shared" si="9"/>
        <v>78.000000002793968</v>
      </c>
      <c r="P100">
        <f t="shared" si="10"/>
        <v>325.00000000116415</v>
      </c>
      <c r="Q100">
        <f t="shared" si="11"/>
        <v>40</v>
      </c>
      <c r="R100" s="11"/>
      <c r="S100" s="11"/>
    </row>
    <row r="101" spans="1:19">
      <c r="A101" s="3">
        <v>2100</v>
      </c>
      <c r="B101" s="3" t="s">
        <v>25</v>
      </c>
      <c r="C101" s="4">
        <v>46224.541666666664</v>
      </c>
      <c r="D101" s="3" t="s">
        <v>20</v>
      </c>
      <c r="E101" s="4">
        <v>46224.578472222223</v>
      </c>
      <c r="F101" s="3">
        <v>150</v>
      </c>
      <c r="G101" s="3">
        <v>141</v>
      </c>
      <c r="H101" s="4">
        <v>46224.676388888889</v>
      </c>
      <c r="I101" s="4">
        <v>46224.696527777778</v>
      </c>
      <c r="J101" s="3" t="s">
        <v>23</v>
      </c>
      <c r="K101" s="5">
        <v>734</v>
      </c>
      <c r="L101" s="5">
        <v>0</v>
      </c>
      <c r="M101" s="3" t="s">
        <v>17</v>
      </c>
      <c r="N101" s="3">
        <v>0</v>
      </c>
      <c r="O101">
        <f t="shared" si="9"/>
        <v>53.000000005122274</v>
      </c>
      <c r="P101">
        <f t="shared" si="10"/>
        <v>223.00000000395812</v>
      </c>
      <c r="Q101">
        <f t="shared" si="11"/>
        <v>-9</v>
      </c>
      <c r="R101" s="11"/>
      <c r="S101" s="11"/>
    </row>
    <row r="102" spans="1:19">
      <c r="A102" s="3">
        <v>2101</v>
      </c>
      <c r="B102" s="3" t="s">
        <v>25</v>
      </c>
      <c r="C102" s="4">
        <v>46224.34375</v>
      </c>
      <c r="D102" s="3" t="s">
        <v>20</v>
      </c>
      <c r="E102" s="4">
        <v>46224.384027777778</v>
      </c>
      <c r="F102" s="3">
        <v>180</v>
      </c>
      <c r="G102" s="3">
        <v>232</v>
      </c>
      <c r="H102" s="4">
        <v>46224.545138888891</v>
      </c>
      <c r="I102" s="4">
        <v>46224.574999999997</v>
      </c>
      <c r="J102" s="3" t="s">
        <v>16</v>
      </c>
      <c r="K102" s="5">
        <v>581</v>
      </c>
      <c r="L102" s="5">
        <v>125</v>
      </c>
      <c r="M102" s="3" t="s">
        <v>17</v>
      </c>
      <c r="N102" s="3">
        <v>0</v>
      </c>
      <c r="O102">
        <f t="shared" si="9"/>
        <v>58.000000000465661</v>
      </c>
      <c r="P102">
        <f t="shared" si="10"/>
        <v>332.99999999580905</v>
      </c>
      <c r="Q102">
        <f t="shared" si="11"/>
        <v>52</v>
      </c>
      <c r="R102" s="11"/>
      <c r="S102" s="11"/>
    </row>
    <row r="103" spans="1:19">
      <c r="A103" s="3">
        <v>2102</v>
      </c>
      <c r="B103" s="3" t="s">
        <v>25</v>
      </c>
      <c r="C103" s="4">
        <v>46224.4375</v>
      </c>
      <c r="D103" s="3" t="s">
        <v>20</v>
      </c>
      <c r="E103" s="4">
        <v>46224.525000000001</v>
      </c>
      <c r="F103" s="3">
        <v>240</v>
      </c>
      <c r="G103" s="3">
        <v>307</v>
      </c>
      <c r="H103" s="4">
        <v>46224.779861111114</v>
      </c>
      <c r="I103" s="4">
        <v>46224.793749999997</v>
      </c>
      <c r="J103" s="3" t="s">
        <v>18</v>
      </c>
      <c r="K103" s="5">
        <v>636</v>
      </c>
      <c r="L103" s="5">
        <v>200</v>
      </c>
      <c r="M103" s="3" t="s">
        <v>24</v>
      </c>
      <c r="N103" s="3">
        <v>60</v>
      </c>
      <c r="O103">
        <f t="shared" si="9"/>
        <v>126.00000000209548</v>
      </c>
      <c r="P103">
        <f t="shared" si="10"/>
        <v>512.99999999580905</v>
      </c>
      <c r="Q103">
        <f t="shared" si="11"/>
        <v>67</v>
      </c>
      <c r="R103" s="11"/>
      <c r="S103" s="11"/>
    </row>
    <row r="104" spans="1:19">
      <c r="A104" s="3">
        <v>2103</v>
      </c>
      <c r="B104" s="3" t="s">
        <v>25</v>
      </c>
      <c r="C104" s="4">
        <v>46224.534722222219</v>
      </c>
      <c r="D104" s="3" t="s">
        <v>22</v>
      </c>
      <c r="E104" s="4">
        <v>46224.614583333336</v>
      </c>
      <c r="F104" s="3">
        <v>120</v>
      </c>
      <c r="G104" s="3">
        <v>162</v>
      </c>
      <c r="H104" s="4">
        <v>46224.852083333331</v>
      </c>
      <c r="I104" s="4">
        <v>46224.881944444445</v>
      </c>
      <c r="J104" s="3" t="s">
        <v>18</v>
      </c>
      <c r="K104" s="5">
        <v>840</v>
      </c>
      <c r="L104" s="5">
        <v>225</v>
      </c>
      <c r="M104" s="3" t="s">
        <v>24</v>
      </c>
      <c r="N104" s="3">
        <v>180</v>
      </c>
      <c r="O104">
        <f t="shared" si="9"/>
        <v>115.00000000814907</v>
      </c>
      <c r="P104">
        <f t="shared" si="10"/>
        <v>500.00000000582077</v>
      </c>
      <c r="Q104">
        <f t="shared" si="11"/>
        <v>42</v>
      </c>
      <c r="R104" s="11"/>
      <c r="S104" s="11"/>
    </row>
    <row r="105" spans="1:19">
      <c r="A105" s="3">
        <v>2104</v>
      </c>
      <c r="B105" s="3" t="s">
        <v>19</v>
      </c>
      <c r="C105" s="4">
        <v>46224.291666666664</v>
      </c>
      <c r="D105" s="3" t="s">
        <v>15</v>
      </c>
      <c r="E105" s="4">
        <v>46224.327777777777</v>
      </c>
      <c r="F105" s="3">
        <v>60</v>
      </c>
      <c r="G105" s="3">
        <v>89</v>
      </c>
      <c r="H105" s="4">
        <v>46224.38958333333</v>
      </c>
      <c r="I105" s="4">
        <v>46224.410416666666</v>
      </c>
      <c r="J105" s="3" t="s">
        <v>18</v>
      </c>
      <c r="K105" s="5">
        <v>741</v>
      </c>
      <c r="L105" s="5">
        <v>0</v>
      </c>
      <c r="M105" s="3" t="s">
        <v>17</v>
      </c>
      <c r="N105" s="3">
        <v>0</v>
      </c>
      <c r="O105">
        <f t="shared" si="9"/>
        <v>52.000000001862645</v>
      </c>
      <c r="P105">
        <f t="shared" si="10"/>
        <v>171.00000000209548</v>
      </c>
      <c r="Q105">
        <f t="shared" si="11"/>
        <v>29</v>
      </c>
      <c r="R105" s="11"/>
      <c r="S105" s="11"/>
    </row>
    <row r="106" spans="1:19">
      <c r="A106" s="3">
        <v>2105</v>
      </c>
      <c r="B106" s="3" t="s">
        <v>25</v>
      </c>
      <c r="C106" s="4">
        <v>46224.46875</v>
      </c>
      <c r="D106" s="3" t="s">
        <v>15</v>
      </c>
      <c r="E106" s="4">
        <v>46224.565972222219</v>
      </c>
      <c r="F106" s="3">
        <v>240</v>
      </c>
      <c r="G106" s="3">
        <v>274</v>
      </c>
      <c r="H106" s="4">
        <v>46224.787499999999</v>
      </c>
      <c r="I106" s="4">
        <v>46224.811805555553</v>
      </c>
      <c r="J106" s="3" t="s">
        <v>18</v>
      </c>
      <c r="K106" s="5">
        <v>1234</v>
      </c>
      <c r="L106" s="5">
        <v>250</v>
      </c>
      <c r="M106" s="3" t="s">
        <v>24</v>
      </c>
      <c r="N106" s="3">
        <v>45</v>
      </c>
      <c r="O106">
        <f t="shared" si="9"/>
        <v>139.99999999534339</v>
      </c>
      <c r="P106">
        <f t="shared" si="10"/>
        <v>493.99999999674037</v>
      </c>
      <c r="Q106">
        <f t="shared" si="11"/>
        <v>34</v>
      </c>
      <c r="R106" s="11"/>
      <c r="S106" s="11"/>
    </row>
    <row r="107" spans="1:19">
      <c r="A107" s="3">
        <v>2106</v>
      </c>
      <c r="B107" s="3" t="s">
        <v>19</v>
      </c>
      <c r="C107" s="4">
        <v>46224.447916666664</v>
      </c>
      <c r="D107" s="3" t="s">
        <v>20</v>
      </c>
      <c r="E107" s="4">
        <v>46224.509027777778</v>
      </c>
      <c r="F107" s="3">
        <v>120</v>
      </c>
      <c r="G107" s="3">
        <v>175</v>
      </c>
      <c r="H107" s="4">
        <v>46224.630555555559</v>
      </c>
      <c r="I107" s="4">
        <v>46224.638194444444</v>
      </c>
      <c r="J107" s="3" t="s">
        <v>18</v>
      </c>
      <c r="K107" s="5">
        <v>498</v>
      </c>
      <c r="L107" s="5">
        <v>75</v>
      </c>
      <c r="M107" s="3" t="s">
        <v>17</v>
      </c>
      <c r="N107" s="3">
        <v>0</v>
      </c>
      <c r="O107">
        <f t="shared" si="9"/>
        <v>88.000000003958121</v>
      </c>
      <c r="P107">
        <f t="shared" si="10"/>
        <v>274.00000000256114</v>
      </c>
      <c r="Q107">
        <f t="shared" si="11"/>
        <v>55</v>
      </c>
      <c r="R107" s="11"/>
      <c r="S107" s="11"/>
    </row>
    <row r="108" spans="1:19">
      <c r="A108" s="3">
        <v>2107</v>
      </c>
      <c r="B108" s="3" t="s">
        <v>19</v>
      </c>
      <c r="C108" s="4">
        <v>46224.527777777781</v>
      </c>
      <c r="D108" s="3" t="s">
        <v>15</v>
      </c>
      <c r="E108" s="4">
        <v>46224.573611111111</v>
      </c>
      <c r="F108" s="3">
        <v>60</v>
      </c>
      <c r="G108" s="3">
        <v>48</v>
      </c>
      <c r="H108" s="4">
        <v>46224.606944444444</v>
      </c>
      <c r="I108" s="4">
        <v>46224.627083333333</v>
      </c>
      <c r="J108" s="3" t="s">
        <v>23</v>
      </c>
      <c r="K108" s="5">
        <v>390</v>
      </c>
      <c r="L108" s="5">
        <v>0</v>
      </c>
      <c r="M108" s="3" t="s">
        <v>17</v>
      </c>
      <c r="N108" s="3">
        <v>0</v>
      </c>
      <c r="O108">
        <f t="shared" si="9"/>
        <v>65.999999995110556</v>
      </c>
      <c r="P108">
        <f t="shared" si="10"/>
        <v>142.9999999946449</v>
      </c>
      <c r="Q108">
        <f t="shared" si="11"/>
        <v>-12</v>
      </c>
      <c r="R108" s="11"/>
      <c r="S108" s="11"/>
    </row>
    <row r="109" spans="1:19">
      <c r="A109" s="3">
        <v>2108</v>
      </c>
      <c r="B109" s="3" t="s">
        <v>14</v>
      </c>
      <c r="C109" s="4">
        <v>46225.340277777781</v>
      </c>
      <c r="D109" s="3" t="s">
        <v>22</v>
      </c>
      <c r="E109" s="4">
        <v>46225.395138888889</v>
      </c>
      <c r="F109" s="3">
        <v>45</v>
      </c>
      <c r="G109" s="3">
        <v>51</v>
      </c>
      <c r="H109" s="4">
        <v>46225.513888888891</v>
      </c>
      <c r="I109" s="4">
        <v>46225.536111111112</v>
      </c>
      <c r="J109" s="3" t="s">
        <v>23</v>
      </c>
      <c r="K109" s="5">
        <v>310</v>
      </c>
      <c r="L109" s="5">
        <v>100</v>
      </c>
      <c r="M109" s="3" t="s">
        <v>24</v>
      </c>
      <c r="N109" s="3">
        <v>120</v>
      </c>
      <c r="O109">
        <f t="shared" si="9"/>
        <v>78.999999995576218</v>
      </c>
      <c r="P109">
        <f t="shared" si="10"/>
        <v>281.99999999720603</v>
      </c>
      <c r="Q109">
        <f t="shared" si="11"/>
        <v>6</v>
      </c>
      <c r="R109" s="11"/>
      <c r="S109" s="11"/>
    </row>
    <row r="110" spans="1:19">
      <c r="A110" s="3">
        <v>2109</v>
      </c>
      <c r="B110" s="3" t="s">
        <v>25</v>
      </c>
      <c r="C110" s="4">
        <v>46225.347222222219</v>
      </c>
      <c r="D110" s="3" t="s">
        <v>15</v>
      </c>
      <c r="E110" s="4">
        <v>46225.442361111112</v>
      </c>
      <c r="F110" s="3">
        <v>150</v>
      </c>
      <c r="G110" s="3">
        <v>177</v>
      </c>
      <c r="H110" s="4">
        <v>46225.56527777778</v>
      </c>
      <c r="I110" s="4">
        <v>46225.599999999999</v>
      </c>
      <c r="J110" s="3" t="s">
        <v>23</v>
      </c>
      <c r="K110" s="5">
        <v>1327</v>
      </c>
      <c r="L110" s="5">
        <v>150</v>
      </c>
      <c r="M110" s="3" t="s">
        <v>17</v>
      </c>
      <c r="N110" s="3">
        <v>0</v>
      </c>
      <c r="O110">
        <f t="shared" si="9"/>
        <v>137.00000000651926</v>
      </c>
      <c r="P110">
        <f t="shared" si="10"/>
        <v>364.00000000256114</v>
      </c>
      <c r="Q110">
        <f t="shared" si="11"/>
        <v>27</v>
      </c>
      <c r="R110" s="11"/>
      <c r="S110" s="11"/>
    </row>
    <row r="111" spans="1:19">
      <c r="A111" s="3">
        <v>2110</v>
      </c>
      <c r="B111" s="3" t="s">
        <v>25</v>
      </c>
      <c r="C111" s="4">
        <v>46225.527777777781</v>
      </c>
      <c r="D111" s="3" t="s">
        <v>21</v>
      </c>
      <c r="E111" s="4">
        <v>46225.594444444447</v>
      </c>
      <c r="F111" s="3">
        <v>150</v>
      </c>
      <c r="G111" s="3">
        <v>185</v>
      </c>
      <c r="H111" s="4">
        <v>46225.722916666666</v>
      </c>
      <c r="I111" s="4">
        <v>46225.757638888892</v>
      </c>
      <c r="J111" s="3" t="s">
        <v>16</v>
      </c>
      <c r="K111" s="5">
        <v>1000</v>
      </c>
      <c r="L111" s="5">
        <v>150</v>
      </c>
      <c r="M111" s="3" t="s">
        <v>17</v>
      </c>
      <c r="N111" s="3">
        <v>0</v>
      </c>
      <c r="O111">
        <f t="shared" si="9"/>
        <v>95.999999998603016</v>
      </c>
      <c r="P111">
        <f t="shared" si="10"/>
        <v>330.99999999976717</v>
      </c>
      <c r="Q111">
        <f t="shared" si="11"/>
        <v>35</v>
      </c>
      <c r="R111" s="11"/>
      <c r="S111" s="11"/>
    </row>
    <row r="112" spans="1:19">
      <c r="A112" s="3">
        <v>2111</v>
      </c>
      <c r="B112" s="3" t="s">
        <v>25</v>
      </c>
      <c r="C112" s="4">
        <v>46225.354166666664</v>
      </c>
      <c r="D112" s="3" t="s">
        <v>22</v>
      </c>
      <c r="E112" s="4">
        <v>46225.429861111108</v>
      </c>
      <c r="F112" s="3">
        <v>90</v>
      </c>
      <c r="G112" s="3">
        <v>81</v>
      </c>
      <c r="H112" s="4">
        <v>46225.517361111109</v>
      </c>
      <c r="I112" s="4">
        <v>46225.551388888889</v>
      </c>
      <c r="J112" s="3" t="s">
        <v>16</v>
      </c>
      <c r="K112" s="5">
        <v>1210</v>
      </c>
      <c r="L112" s="5">
        <v>100</v>
      </c>
      <c r="M112" s="3" t="s">
        <v>24</v>
      </c>
      <c r="N112" s="3">
        <v>45</v>
      </c>
      <c r="O112">
        <f t="shared" si="9"/>
        <v>108.99999999906868</v>
      </c>
      <c r="P112">
        <f t="shared" si="10"/>
        <v>284.00000000372529</v>
      </c>
      <c r="Q112">
        <f t="shared" si="11"/>
        <v>-9</v>
      </c>
      <c r="R112" s="11"/>
      <c r="S112" s="11"/>
    </row>
    <row r="113" spans="1:19">
      <c r="A113" s="3">
        <v>2112</v>
      </c>
      <c r="B113" s="3" t="s">
        <v>25</v>
      </c>
      <c r="C113" s="4">
        <v>46225.541666666664</v>
      </c>
      <c r="D113" s="3" t="s">
        <v>22</v>
      </c>
      <c r="E113" s="4">
        <v>46225.658333333333</v>
      </c>
      <c r="F113" s="3">
        <v>240</v>
      </c>
      <c r="G113" s="3">
        <v>289</v>
      </c>
      <c r="H113" s="4">
        <v>46225.859027777777</v>
      </c>
      <c r="I113" s="4">
        <v>46225.888194444444</v>
      </c>
      <c r="J113" s="3" t="s">
        <v>18</v>
      </c>
      <c r="K113" s="5">
        <v>742</v>
      </c>
      <c r="L113" s="5">
        <v>200</v>
      </c>
      <c r="M113" s="3" t="s">
        <v>17</v>
      </c>
      <c r="N113" s="3">
        <v>0</v>
      </c>
      <c r="O113">
        <f t="shared" si="9"/>
        <v>168.00000000279397</v>
      </c>
      <c r="P113">
        <f t="shared" si="10"/>
        <v>499.00000000256114</v>
      </c>
      <c r="Q113">
        <f t="shared" si="11"/>
        <v>49</v>
      </c>
      <c r="R113" s="11"/>
      <c r="S113" s="11"/>
    </row>
    <row r="114" spans="1:19">
      <c r="A114" s="3">
        <v>2113</v>
      </c>
      <c r="B114" s="3" t="s">
        <v>19</v>
      </c>
      <c r="C114" s="4">
        <v>46225.423611111109</v>
      </c>
      <c r="D114" s="3" t="s">
        <v>22</v>
      </c>
      <c r="E114" s="4">
        <v>46225.479861111111</v>
      </c>
      <c r="F114" s="3">
        <v>60</v>
      </c>
      <c r="G114" s="3">
        <v>72</v>
      </c>
      <c r="H114" s="4">
        <v>46225.529861111114</v>
      </c>
      <c r="I114" s="4">
        <v>46225.543749999997</v>
      </c>
      <c r="J114" s="3" t="s">
        <v>16</v>
      </c>
      <c r="K114" s="5">
        <v>574</v>
      </c>
      <c r="L114" s="5">
        <v>0</v>
      </c>
      <c r="M114" s="3" t="s">
        <v>17</v>
      </c>
      <c r="N114" s="3">
        <v>0</v>
      </c>
      <c r="O114">
        <f t="shared" si="9"/>
        <v>81.000000002095476</v>
      </c>
      <c r="P114">
        <f t="shared" si="10"/>
        <v>172.99999999813735</v>
      </c>
      <c r="Q114">
        <f t="shared" si="11"/>
        <v>12</v>
      </c>
      <c r="R114" s="11"/>
      <c r="S114" s="11"/>
    </row>
    <row r="115" spans="1:19">
      <c r="A115" s="3">
        <v>2114</v>
      </c>
      <c r="B115" s="3" t="s">
        <v>19</v>
      </c>
      <c r="C115" s="4">
        <v>46225.489583333336</v>
      </c>
      <c r="D115" s="3" t="s">
        <v>20</v>
      </c>
      <c r="E115" s="4">
        <v>46225.549305555556</v>
      </c>
      <c r="F115" s="3">
        <v>120</v>
      </c>
      <c r="G115" s="3">
        <v>170</v>
      </c>
      <c r="H115" s="4">
        <v>46225.667361111111</v>
      </c>
      <c r="I115" s="4">
        <v>46225.688888888886</v>
      </c>
      <c r="J115" s="3" t="s">
        <v>16</v>
      </c>
      <c r="K115" s="5">
        <v>673</v>
      </c>
      <c r="L115" s="5">
        <v>50</v>
      </c>
      <c r="M115" s="3" t="s">
        <v>17</v>
      </c>
      <c r="N115" s="3">
        <v>0</v>
      </c>
      <c r="O115">
        <f t="shared" si="9"/>
        <v>85.999999997438863</v>
      </c>
      <c r="P115">
        <f t="shared" si="10"/>
        <v>286.99999999254942</v>
      </c>
      <c r="Q115">
        <f t="shared" si="11"/>
        <v>50</v>
      </c>
      <c r="R115" s="11"/>
      <c r="S115" s="11"/>
    </row>
    <row r="116" spans="1:19">
      <c r="A116" s="3">
        <v>2115</v>
      </c>
      <c r="B116" s="3" t="s">
        <v>25</v>
      </c>
      <c r="C116" s="4">
        <v>46225.385416666664</v>
      </c>
      <c r="D116" s="3" t="s">
        <v>15</v>
      </c>
      <c r="E116" s="4">
        <v>46225.529861111114</v>
      </c>
      <c r="F116" s="3">
        <v>240</v>
      </c>
      <c r="G116" s="3">
        <v>289</v>
      </c>
      <c r="H116" s="4">
        <v>46225.730555555558</v>
      </c>
      <c r="I116" s="4">
        <v>46225.740972222222</v>
      </c>
      <c r="J116" s="3" t="s">
        <v>16</v>
      </c>
      <c r="K116" s="5">
        <v>1221</v>
      </c>
      <c r="L116" s="5">
        <v>275</v>
      </c>
      <c r="M116" s="3" t="s">
        <v>17</v>
      </c>
      <c r="N116" s="3">
        <v>0</v>
      </c>
      <c r="O116">
        <f t="shared" si="9"/>
        <v>208.00000000745058</v>
      </c>
      <c r="P116">
        <f t="shared" si="10"/>
        <v>512.0000000030268</v>
      </c>
      <c r="Q116">
        <f t="shared" si="11"/>
        <v>49</v>
      </c>
      <c r="R116" s="11"/>
      <c r="S116" s="11"/>
    </row>
    <row r="117" spans="1:19">
      <c r="A117" s="3">
        <v>2116</v>
      </c>
      <c r="B117" s="3" t="s">
        <v>19</v>
      </c>
      <c r="C117" s="4">
        <v>46226.548611111109</v>
      </c>
      <c r="D117" s="3" t="s">
        <v>20</v>
      </c>
      <c r="E117" s="4">
        <v>46226.618055555555</v>
      </c>
      <c r="F117" s="3">
        <v>90</v>
      </c>
      <c r="G117" s="3">
        <v>126</v>
      </c>
      <c r="H117" s="4">
        <v>46226.705555555556</v>
      </c>
      <c r="I117" s="4">
        <v>46226.725694444445</v>
      </c>
      <c r="J117" s="3" t="s">
        <v>23</v>
      </c>
      <c r="K117" s="5">
        <v>535</v>
      </c>
      <c r="L117" s="5">
        <v>50</v>
      </c>
      <c r="M117" s="3" t="s">
        <v>17</v>
      </c>
      <c r="N117" s="3">
        <v>0</v>
      </c>
      <c r="O117">
        <f t="shared" si="9"/>
        <v>100.00000000116415</v>
      </c>
      <c r="P117">
        <f t="shared" si="10"/>
        <v>255.00000000349246</v>
      </c>
      <c r="Q117">
        <f t="shared" si="11"/>
        <v>36</v>
      </c>
      <c r="R117" s="11"/>
      <c r="S117" s="11"/>
    </row>
    <row r="118" spans="1:19">
      <c r="A118" s="3">
        <v>2117</v>
      </c>
      <c r="B118" s="3" t="s">
        <v>25</v>
      </c>
      <c r="C118" s="4">
        <v>46226.513888888891</v>
      </c>
      <c r="D118" s="3" t="s">
        <v>15</v>
      </c>
      <c r="E118" s="4">
        <v>46226.561805555553</v>
      </c>
      <c r="F118" s="3">
        <v>120</v>
      </c>
      <c r="G118" s="3">
        <v>194</v>
      </c>
      <c r="H118" s="4">
        <v>46226.696527777778</v>
      </c>
      <c r="I118" s="4">
        <v>46226.727083333331</v>
      </c>
      <c r="J118" s="3" t="s">
        <v>23</v>
      </c>
      <c r="K118" s="5">
        <v>653</v>
      </c>
      <c r="L118" s="5">
        <v>100</v>
      </c>
      <c r="M118" s="3" t="s">
        <v>17</v>
      </c>
      <c r="N118" s="3">
        <v>0</v>
      </c>
      <c r="O118">
        <f t="shared" si="9"/>
        <v>68.999999994412065</v>
      </c>
      <c r="P118">
        <f t="shared" si="10"/>
        <v>306.99999999487773</v>
      </c>
      <c r="Q118">
        <f t="shared" si="11"/>
        <v>74</v>
      </c>
      <c r="R118" s="11"/>
      <c r="S118" s="11"/>
    </row>
    <row r="119" spans="1:19">
      <c r="A119" s="3">
        <v>2118</v>
      </c>
      <c r="B119" s="3" t="s">
        <v>14</v>
      </c>
      <c r="C119" s="4">
        <v>46226.427083333336</v>
      </c>
      <c r="D119" s="3" t="s">
        <v>20</v>
      </c>
      <c r="E119" s="4">
        <v>46226.444444444445</v>
      </c>
      <c r="F119" s="3">
        <v>60</v>
      </c>
      <c r="G119" s="3">
        <v>74</v>
      </c>
      <c r="H119" s="4">
        <v>46226.495833333334</v>
      </c>
      <c r="I119" s="4">
        <v>46226.529861111114</v>
      </c>
      <c r="J119" s="3" t="s">
        <v>23</v>
      </c>
      <c r="K119" s="5">
        <v>226</v>
      </c>
      <c r="L119" s="5">
        <v>0</v>
      </c>
      <c r="M119" s="3" t="s">
        <v>17</v>
      </c>
      <c r="N119" s="3">
        <v>0</v>
      </c>
      <c r="O119">
        <f t="shared" si="9"/>
        <v>24.999999997671694</v>
      </c>
      <c r="P119">
        <f t="shared" si="10"/>
        <v>148.00000000046566</v>
      </c>
      <c r="Q119">
        <f t="shared" si="11"/>
        <v>14</v>
      </c>
      <c r="R119" s="11"/>
      <c r="S119" s="11"/>
    </row>
    <row r="120" spans="1:19">
      <c r="A120" s="3">
        <v>2119</v>
      </c>
      <c r="B120" s="3" t="s">
        <v>14</v>
      </c>
      <c r="C120" s="4">
        <v>46226.5</v>
      </c>
      <c r="D120" s="3" t="s">
        <v>22</v>
      </c>
      <c r="E120" s="4">
        <v>46226.529861111114</v>
      </c>
      <c r="F120" s="3">
        <v>60</v>
      </c>
      <c r="G120" s="3">
        <v>41</v>
      </c>
      <c r="H120" s="4">
        <v>46226.558333333334</v>
      </c>
      <c r="I120" s="4">
        <v>46226.588888888888</v>
      </c>
      <c r="J120" s="3" t="s">
        <v>18</v>
      </c>
      <c r="K120" s="5">
        <v>380</v>
      </c>
      <c r="L120" s="5">
        <v>0</v>
      </c>
      <c r="M120" s="3" t="s">
        <v>17</v>
      </c>
      <c r="N120" s="3">
        <v>0</v>
      </c>
      <c r="O120">
        <f t="shared" si="9"/>
        <v>43.000000003958121</v>
      </c>
      <c r="P120">
        <f t="shared" si="10"/>
        <v>127.99999999813735</v>
      </c>
      <c r="Q120">
        <f t="shared" si="11"/>
        <v>-19</v>
      </c>
      <c r="R120" s="11"/>
      <c r="S120" s="11"/>
    </row>
    <row r="121" spans="1:19">
      <c r="A121" s="3">
        <v>2120</v>
      </c>
      <c r="B121" s="3" t="s">
        <v>19</v>
      </c>
      <c r="C121" s="4">
        <v>46226.513888888891</v>
      </c>
      <c r="D121" s="3" t="s">
        <v>22</v>
      </c>
      <c r="E121" s="4">
        <v>46226.57708333333</v>
      </c>
      <c r="F121" s="3">
        <v>120</v>
      </c>
      <c r="G121" s="3">
        <v>117</v>
      </c>
      <c r="H121" s="4">
        <v>46226.762499999997</v>
      </c>
      <c r="I121" s="4">
        <v>46226.791666666664</v>
      </c>
      <c r="J121" s="3" t="s">
        <v>23</v>
      </c>
      <c r="K121" s="5">
        <v>586</v>
      </c>
      <c r="L121" s="5">
        <v>175</v>
      </c>
      <c r="M121" s="3" t="s">
        <v>24</v>
      </c>
      <c r="N121" s="3">
        <v>150</v>
      </c>
      <c r="O121">
        <f t="shared" si="9"/>
        <v>90.99999999278225</v>
      </c>
      <c r="P121">
        <f t="shared" si="10"/>
        <v>399.99999999417923</v>
      </c>
      <c r="Q121">
        <f t="shared" si="11"/>
        <v>-3</v>
      </c>
      <c r="R121" s="11"/>
      <c r="S121" s="11"/>
    </row>
    <row r="122" spans="1:19">
      <c r="A122" s="3">
        <v>2121</v>
      </c>
      <c r="B122" s="3" t="s">
        <v>19</v>
      </c>
      <c r="C122" s="4">
        <v>46226.59375</v>
      </c>
      <c r="D122" s="3" t="s">
        <v>21</v>
      </c>
      <c r="E122" s="4">
        <v>46226.660416666666</v>
      </c>
      <c r="F122" s="3">
        <v>60</v>
      </c>
      <c r="G122" s="3">
        <v>94</v>
      </c>
      <c r="H122" s="4">
        <v>46226.725694444445</v>
      </c>
      <c r="I122" s="4">
        <v>46226.755555555559</v>
      </c>
      <c r="J122" s="3" t="s">
        <v>23</v>
      </c>
      <c r="K122" s="5">
        <v>402</v>
      </c>
      <c r="L122" s="5">
        <v>0</v>
      </c>
      <c r="M122" s="3" t="s">
        <v>17</v>
      </c>
      <c r="N122" s="3">
        <v>0</v>
      </c>
      <c r="O122">
        <f t="shared" si="9"/>
        <v>95.999999998603016</v>
      </c>
      <c r="P122">
        <f t="shared" si="10"/>
        <v>233.00000000512227</v>
      </c>
      <c r="Q122">
        <f t="shared" si="11"/>
        <v>34</v>
      </c>
      <c r="R122" s="11"/>
      <c r="S122" s="11"/>
    </row>
    <row r="123" spans="1:19">
      <c r="A123" s="3">
        <v>2122</v>
      </c>
      <c r="B123" s="3" t="s">
        <v>14</v>
      </c>
      <c r="C123" s="4">
        <v>46226.354166666664</v>
      </c>
      <c r="D123" s="3" t="s">
        <v>22</v>
      </c>
      <c r="E123" s="4">
        <v>46226.383333333331</v>
      </c>
      <c r="F123" s="3">
        <v>60</v>
      </c>
      <c r="G123" s="3">
        <v>47</v>
      </c>
      <c r="H123" s="4">
        <v>46226.468055555553</v>
      </c>
      <c r="I123" s="4">
        <v>46226.494444444441</v>
      </c>
      <c r="J123" s="3" t="s">
        <v>23</v>
      </c>
      <c r="K123" s="5">
        <v>203</v>
      </c>
      <c r="L123" s="5">
        <v>0</v>
      </c>
      <c r="M123" s="3" t="s">
        <v>24</v>
      </c>
      <c r="N123" s="3">
        <v>75</v>
      </c>
      <c r="O123">
        <f t="shared" si="9"/>
        <v>42.000000000698492</v>
      </c>
      <c r="P123">
        <f t="shared" si="10"/>
        <v>201.99999999837019</v>
      </c>
      <c r="Q123">
        <f t="shared" si="11"/>
        <v>-13</v>
      </c>
      <c r="R123" s="11"/>
      <c r="S123" s="11"/>
    </row>
    <row r="124" spans="1:19">
      <c r="A124" s="3">
        <v>2123</v>
      </c>
      <c r="B124" s="3" t="s">
        <v>19</v>
      </c>
      <c r="C124" s="4">
        <v>46226.458333333336</v>
      </c>
      <c r="D124" s="3" t="s">
        <v>22</v>
      </c>
      <c r="E124" s="4">
        <v>46226.503472222219</v>
      </c>
      <c r="F124" s="3">
        <v>90</v>
      </c>
      <c r="G124" s="3">
        <v>100</v>
      </c>
      <c r="H124" s="4">
        <v>46226.572916666664</v>
      </c>
      <c r="I124" s="4">
        <v>46226.584027777775</v>
      </c>
      <c r="J124" s="3" t="s">
        <v>23</v>
      </c>
      <c r="K124" s="5">
        <v>464</v>
      </c>
      <c r="L124" s="5">
        <v>0</v>
      </c>
      <c r="M124" s="3" t="s">
        <v>17</v>
      </c>
      <c r="N124" s="3">
        <v>0</v>
      </c>
      <c r="O124">
        <f t="shared" si="9"/>
        <v>64.999999991850927</v>
      </c>
      <c r="P124">
        <f t="shared" si="10"/>
        <v>180.99999999278225</v>
      </c>
      <c r="Q124">
        <f t="shared" si="11"/>
        <v>10</v>
      </c>
      <c r="R124" s="11"/>
      <c r="S124" s="11"/>
    </row>
    <row r="125" spans="1:19">
      <c r="A125" s="3">
        <v>2124</v>
      </c>
      <c r="B125" s="3" t="s">
        <v>25</v>
      </c>
      <c r="C125" s="4">
        <v>46226.34375</v>
      </c>
      <c r="D125" s="3" t="s">
        <v>15</v>
      </c>
      <c r="E125" s="4">
        <v>46226.44027777778</v>
      </c>
      <c r="F125" s="3">
        <v>180</v>
      </c>
      <c r="G125" s="3">
        <v>211</v>
      </c>
      <c r="H125" s="4">
        <v>46226.711805555555</v>
      </c>
      <c r="I125" s="4">
        <v>46226.738194444442</v>
      </c>
      <c r="J125" s="3" t="s">
        <v>18</v>
      </c>
      <c r="K125" s="5">
        <v>692</v>
      </c>
      <c r="L125" s="5">
        <v>200</v>
      </c>
      <c r="M125" s="3" t="s">
        <v>24</v>
      </c>
      <c r="N125" s="3">
        <v>180</v>
      </c>
      <c r="O125">
        <f t="shared" si="9"/>
        <v>139.00000000256114</v>
      </c>
      <c r="P125">
        <f t="shared" si="10"/>
        <v>567.9999999969732</v>
      </c>
      <c r="Q125">
        <f t="shared" si="11"/>
        <v>31</v>
      </c>
      <c r="R125" s="11"/>
      <c r="S125" s="11"/>
    </row>
    <row r="126" spans="1:19">
      <c r="A126" s="3">
        <v>2125</v>
      </c>
      <c r="B126" s="3" t="s">
        <v>19</v>
      </c>
      <c r="C126" s="4">
        <v>46227.572916666664</v>
      </c>
      <c r="D126" s="3" t="s">
        <v>15</v>
      </c>
      <c r="E126" s="4">
        <v>46227.618055555555</v>
      </c>
      <c r="F126" s="3">
        <v>90</v>
      </c>
      <c r="G126" s="3">
        <v>105</v>
      </c>
      <c r="H126" s="4">
        <v>46227.690972222219</v>
      </c>
      <c r="I126" s="4">
        <v>46227.724999999999</v>
      </c>
      <c r="J126" s="3" t="s">
        <v>16</v>
      </c>
      <c r="K126" s="5">
        <v>564</v>
      </c>
      <c r="L126" s="5">
        <v>0</v>
      </c>
      <c r="M126" s="3" t="s">
        <v>17</v>
      </c>
      <c r="N126" s="3">
        <v>0</v>
      </c>
      <c r="O126">
        <f t="shared" si="9"/>
        <v>65.000000002328306</v>
      </c>
      <c r="P126">
        <f t="shared" si="10"/>
        <v>219.00000000139698</v>
      </c>
      <c r="Q126">
        <f t="shared" si="11"/>
        <v>15</v>
      </c>
      <c r="R126" s="11"/>
      <c r="S126" s="11"/>
    </row>
    <row r="127" spans="1:19">
      <c r="A127" s="3">
        <v>2126</v>
      </c>
      <c r="B127" s="3" t="s">
        <v>14</v>
      </c>
      <c r="C127" s="4">
        <v>46227.5</v>
      </c>
      <c r="D127" s="3" t="s">
        <v>20</v>
      </c>
      <c r="E127" s="4">
        <v>46227.51666666667</v>
      </c>
      <c r="F127" s="3">
        <v>60</v>
      </c>
      <c r="G127" s="3">
        <v>65</v>
      </c>
      <c r="H127" s="4">
        <v>46227.561805555553</v>
      </c>
      <c r="I127" s="4">
        <v>46227.595833333333</v>
      </c>
      <c r="J127" s="3" t="s">
        <v>16</v>
      </c>
      <c r="K127" s="5">
        <v>254</v>
      </c>
      <c r="L127" s="5">
        <v>0</v>
      </c>
      <c r="M127" s="3" t="s">
        <v>17</v>
      </c>
      <c r="N127" s="3">
        <v>0</v>
      </c>
      <c r="O127">
        <f t="shared" si="9"/>
        <v>24.000000004889444</v>
      </c>
      <c r="P127">
        <f t="shared" si="10"/>
        <v>137.99999999930151</v>
      </c>
      <c r="Q127">
        <f t="shared" si="11"/>
        <v>5</v>
      </c>
      <c r="R127" s="11"/>
      <c r="S127" s="11"/>
    </row>
    <row r="128" spans="1:19">
      <c r="A128" s="3">
        <v>2127</v>
      </c>
      <c r="B128" s="3" t="s">
        <v>25</v>
      </c>
      <c r="C128" s="4">
        <v>46227.340277777781</v>
      </c>
      <c r="D128" s="3" t="s">
        <v>22</v>
      </c>
      <c r="E128" s="4">
        <v>46227.380555555559</v>
      </c>
      <c r="F128" s="3">
        <v>150</v>
      </c>
      <c r="G128" s="3">
        <v>210</v>
      </c>
      <c r="H128" s="4">
        <v>46227.526388888888</v>
      </c>
      <c r="I128" s="4">
        <v>46227.55</v>
      </c>
      <c r="J128" s="3" t="s">
        <v>18</v>
      </c>
      <c r="K128" s="5">
        <v>1069</v>
      </c>
      <c r="L128" s="5">
        <v>75</v>
      </c>
      <c r="M128" s="3" t="s">
        <v>17</v>
      </c>
      <c r="N128" s="3">
        <v>0</v>
      </c>
      <c r="O128">
        <f t="shared" si="9"/>
        <v>58.000000000465661</v>
      </c>
      <c r="P128">
        <f t="shared" si="10"/>
        <v>301.99999999953434</v>
      </c>
      <c r="Q128">
        <f t="shared" si="11"/>
        <v>60</v>
      </c>
      <c r="R128" s="11"/>
      <c r="S128" s="11"/>
    </row>
    <row r="129" spans="1:19">
      <c r="A129" s="3">
        <v>2128</v>
      </c>
      <c r="B129" s="3" t="s">
        <v>25</v>
      </c>
      <c r="C129" s="4">
        <v>46227.4375</v>
      </c>
      <c r="D129" s="3" t="s">
        <v>20</v>
      </c>
      <c r="E129" s="4">
        <v>46227.477777777778</v>
      </c>
      <c r="F129" s="3">
        <v>150</v>
      </c>
      <c r="G129" s="3">
        <v>155</v>
      </c>
      <c r="H129" s="4">
        <v>46227.585416666669</v>
      </c>
      <c r="I129" s="4">
        <v>46227.620138888888</v>
      </c>
      <c r="J129" s="3" t="s">
        <v>23</v>
      </c>
      <c r="K129" s="5">
        <v>903</v>
      </c>
      <c r="L129" s="5">
        <v>50</v>
      </c>
      <c r="M129" s="3" t="s">
        <v>17</v>
      </c>
      <c r="N129" s="3">
        <v>0</v>
      </c>
      <c r="O129">
        <f t="shared" si="9"/>
        <v>58.000000000465661</v>
      </c>
      <c r="P129">
        <f t="shared" si="10"/>
        <v>262.99999999813735</v>
      </c>
      <c r="Q129">
        <f t="shared" si="11"/>
        <v>5</v>
      </c>
      <c r="R129" s="11"/>
      <c r="S129" s="11"/>
    </row>
    <row r="130" spans="1:19">
      <c r="A130" s="3">
        <v>2129</v>
      </c>
      <c r="B130" s="3" t="s">
        <v>25</v>
      </c>
      <c r="C130" s="4">
        <v>46227.427083333336</v>
      </c>
      <c r="D130" s="3" t="s">
        <v>15</v>
      </c>
      <c r="E130" s="4">
        <v>46227.491666666669</v>
      </c>
      <c r="F130" s="3">
        <v>240</v>
      </c>
      <c r="G130" s="3">
        <v>277</v>
      </c>
      <c r="H130" s="4">
        <v>46227.809027777781</v>
      </c>
      <c r="I130" s="4">
        <v>46227.84375</v>
      </c>
      <c r="J130" s="3" t="s">
        <v>23</v>
      </c>
      <c r="K130" s="5">
        <v>1347</v>
      </c>
      <c r="L130" s="5">
        <v>150</v>
      </c>
      <c r="M130" s="3" t="s">
        <v>24</v>
      </c>
      <c r="N130" s="3">
        <v>180</v>
      </c>
      <c r="O130">
        <f t="shared" si="9"/>
        <v>92.999999999301508</v>
      </c>
      <c r="P130">
        <f t="shared" si="10"/>
        <v>599.99999999650754</v>
      </c>
      <c r="Q130">
        <f t="shared" si="11"/>
        <v>37</v>
      </c>
      <c r="R130" s="11"/>
      <c r="S130" s="11"/>
    </row>
    <row r="131" spans="1:19">
      <c r="A131" s="3">
        <v>2130</v>
      </c>
      <c r="B131" s="3" t="s">
        <v>19</v>
      </c>
      <c r="C131" s="4">
        <v>46227.3125</v>
      </c>
      <c r="D131" s="3" t="s">
        <v>15</v>
      </c>
      <c r="E131" s="4">
        <v>46227.340277777781</v>
      </c>
      <c r="F131" s="3">
        <v>60</v>
      </c>
      <c r="G131" s="3">
        <v>57</v>
      </c>
      <c r="H131" s="4">
        <v>46227.484027777777</v>
      </c>
      <c r="I131" s="4">
        <v>46227.51458333333</v>
      </c>
      <c r="J131" s="3" t="s">
        <v>18</v>
      </c>
      <c r="K131" s="5">
        <v>511</v>
      </c>
      <c r="L131" s="5">
        <v>75</v>
      </c>
      <c r="M131" s="3" t="s">
        <v>24</v>
      </c>
      <c r="N131" s="3">
        <v>150</v>
      </c>
      <c r="O131">
        <f t="shared" si="9"/>
        <v>40.000000004656613</v>
      </c>
      <c r="P131">
        <f t="shared" si="10"/>
        <v>290.99999999511056</v>
      </c>
      <c r="Q131">
        <f t="shared" si="11"/>
        <v>-3</v>
      </c>
      <c r="R131" s="11"/>
      <c r="S131" s="11"/>
    </row>
    <row r="132" spans="1:19">
      <c r="A132" s="3">
        <v>2131</v>
      </c>
      <c r="B132" s="3" t="s">
        <v>25</v>
      </c>
      <c r="C132" s="4">
        <v>46227.395833333336</v>
      </c>
      <c r="D132" s="3" t="s">
        <v>22</v>
      </c>
      <c r="E132" s="4">
        <v>46227.488194444442</v>
      </c>
      <c r="F132" s="3">
        <v>90</v>
      </c>
      <c r="G132" s="3">
        <v>91</v>
      </c>
      <c r="H132" s="4">
        <v>46227.551388888889</v>
      </c>
      <c r="I132" s="4">
        <v>46227.575694444444</v>
      </c>
      <c r="J132" s="3" t="s">
        <v>16</v>
      </c>
      <c r="K132" s="5">
        <v>926</v>
      </c>
      <c r="L132" s="5">
        <v>100</v>
      </c>
      <c r="M132" s="3" t="s">
        <v>17</v>
      </c>
      <c r="N132" s="3">
        <v>0</v>
      </c>
      <c r="O132">
        <f t="shared" si="9"/>
        <v>132.99999999348074</v>
      </c>
      <c r="P132">
        <f t="shared" si="10"/>
        <v>258.99999999557622</v>
      </c>
      <c r="Q132">
        <f t="shared" si="11"/>
        <v>1</v>
      </c>
      <c r="R132" s="11"/>
      <c r="S132" s="11"/>
    </row>
    <row r="133" spans="1:19">
      <c r="A133" s="3">
        <v>2132</v>
      </c>
      <c r="B133" s="3" t="s">
        <v>19</v>
      </c>
      <c r="C133" s="4">
        <v>46227.427083333336</v>
      </c>
      <c r="D133" s="3" t="s">
        <v>22</v>
      </c>
      <c r="E133" s="4">
        <v>46227.484027777777</v>
      </c>
      <c r="F133" s="3">
        <v>90</v>
      </c>
      <c r="G133" s="3">
        <v>119</v>
      </c>
      <c r="H133" s="4">
        <v>46227.566666666666</v>
      </c>
      <c r="I133" s="4">
        <v>46227.57708333333</v>
      </c>
      <c r="J133" s="3" t="s">
        <v>23</v>
      </c>
      <c r="K133" s="5">
        <v>615</v>
      </c>
      <c r="L133" s="5">
        <v>0</v>
      </c>
      <c r="M133" s="3" t="s">
        <v>17</v>
      </c>
      <c r="N133" s="3">
        <v>0</v>
      </c>
      <c r="O133">
        <f t="shared" si="9"/>
        <v>81.999999994877726</v>
      </c>
      <c r="P133">
        <f t="shared" si="10"/>
        <v>215.9999999916181</v>
      </c>
      <c r="Q133">
        <f t="shared" si="11"/>
        <v>29</v>
      </c>
      <c r="R133" s="11"/>
      <c r="S133" s="11"/>
    </row>
    <row r="136" spans="1:19">
      <c r="O136">
        <f>AVERAGE(O2:O133)</f>
        <v>89.090909091041382</v>
      </c>
    </row>
    <row r="1048576" spans="15:15">
      <c r="O1048576">
        <f>AVERAGE(O2:O1048575)</f>
        <v>89.090909091041382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13.8"/>
  <cols>
    <col min="1" max="1" width="17.5" customWidth="1"/>
    <col min="2" max="2" width="45" customWidth="1"/>
    <col min="3" max="3" width="26" customWidth="1"/>
  </cols>
  <sheetData>
    <row r="1" spans="1:3">
      <c r="A1" s="1" t="s">
        <v>26</v>
      </c>
      <c r="B1" s="1" t="s">
        <v>27</v>
      </c>
      <c r="C1" s="1" t="s">
        <v>28</v>
      </c>
    </row>
    <row r="2" spans="1:3">
      <c r="A2" s="6" t="s">
        <v>0</v>
      </c>
      <c r="B2" s="6" t="s">
        <v>29</v>
      </c>
      <c r="C2" s="6" t="s">
        <v>30</v>
      </c>
    </row>
    <row r="3" spans="1:3">
      <c r="A3" s="6" t="s">
        <v>1</v>
      </c>
      <c r="B3" s="6" t="s">
        <v>31</v>
      </c>
      <c r="C3" s="6" t="s">
        <v>30</v>
      </c>
    </row>
    <row r="4" spans="1:3">
      <c r="A4" s="6" t="s">
        <v>2</v>
      </c>
      <c r="B4" s="6" t="s">
        <v>32</v>
      </c>
      <c r="C4" s="6" t="s">
        <v>30</v>
      </c>
    </row>
    <row r="5" spans="1:3">
      <c r="A5" s="6" t="s">
        <v>3</v>
      </c>
      <c r="B5" s="6" t="s">
        <v>33</v>
      </c>
      <c r="C5" s="6" t="s">
        <v>30</v>
      </c>
    </row>
    <row r="6" spans="1:3">
      <c r="A6" s="6" t="s">
        <v>4</v>
      </c>
      <c r="B6" s="6" t="s">
        <v>34</v>
      </c>
      <c r="C6" s="6" t="s">
        <v>30</v>
      </c>
    </row>
    <row r="7" spans="1:3">
      <c r="A7" s="6" t="s">
        <v>5</v>
      </c>
      <c r="B7" s="6" t="s">
        <v>35</v>
      </c>
      <c r="C7" s="6" t="s">
        <v>30</v>
      </c>
    </row>
    <row r="8" spans="1:3" ht="27.6">
      <c r="A8" s="6" t="s">
        <v>6</v>
      </c>
      <c r="B8" s="6" t="s">
        <v>36</v>
      </c>
      <c r="C8" s="6" t="s">
        <v>30</v>
      </c>
    </row>
    <row r="9" spans="1:3" ht="27.6">
      <c r="A9" s="6" t="s">
        <v>7</v>
      </c>
      <c r="B9" s="6" t="s">
        <v>37</v>
      </c>
      <c r="C9" s="6" t="s">
        <v>30</v>
      </c>
    </row>
    <row r="10" spans="1:3">
      <c r="A10" s="6" t="s">
        <v>8</v>
      </c>
      <c r="B10" s="6" t="s">
        <v>38</v>
      </c>
      <c r="C10" s="6" t="s">
        <v>30</v>
      </c>
    </row>
    <row r="11" spans="1:3">
      <c r="A11" s="6" t="s">
        <v>9</v>
      </c>
      <c r="B11" s="6" t="s">
        <v>39</v>
      </c>
      <c r="C11" s="6" t="s">
        <v>30</v>
      </c>
    </row>
    <row r="12" spans="1:3">
      <c r="A12" s="6" t="s">
        <v>10</v>
      </c>
      <c r="B12" s="6" t="s">
        <v>40</v>
      </c>
      <c r="C12" s="6" t="s">
        <v>30</v>
      </c>
    </row>
    <row r="13" spans="1:3">
      <c r="A13" s="6" t="s">
        <v>11</v>
      </c>
      <c r="B13" s="6" t="s">
        <v>41</v>
      </c>
      <c r="C13" s="6" t="s">
        <v>30</v>
      </c>
    </row>
    <row r="14" spans="1:3">
      <c r="A14" s="6" t="s">
        <v>12</v>
      </c>
      <c r="B14" s="6" t="s">
        <v>42</v>
      </c>
      <c r="C14" s="6" t="s">
        <v>30</v>
      </c>
    </row>
    <row r="15" spans="1:3">
      <c r="A15" s="6" t="s">
        <v>13</v>
      </c>
      <c r="B15" s="6" t="s">
        <v>43</v>
      </c>
      <c r="C15" s="6" t="s">
        <v>30</v>
      </c>
    </row>
    <row r="16" spans="1:3">
      <c r="A16" s="6" t="s">
        <v>44</v>
      </c>
      <c r="B16" s="6" t="s">
        <v>45</v>
      </c>
      <c r="C16" s="6" t="s">
        <v>46</v>
      </c>
    </row>
    <row r="17" spans="1:3">
      <c r="A17" s="6" t="s">
        <v>47</v>
      </c>
      <c r="B17" s="6" t="s">
        <v>48</v>
      </c>
      <c r="C17" s="6" t="s">
        <v>46</v>
      </c>
    </row>
    <row r="18" spans="1:3">
      <c r="A18" s="6" t="s">
        <v>49</v>
      </c>
      <c r="B18" s="6" t="s">
        <v>50</v>
      </c>
      <c r="C18" s="6" t="s">
        <v>46</v>
      </c>
    </row>
    <row r="19" spans="1:3">
      <c r="A19" s="6" t="s">
        <v>51</v>
      </c>
      <c r="B19" s="6" t="s">
        <v>52</v>
      </c>
      <c r="C19" s="6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defaultRowHeight="13.8"/>
  <cols>
    <col min="1" max="1" width="100" customWidth="1"/>
  </cols>
  <sheetData>
    <row r="1" spans="1:1" ht="21">
      <c r="A1" s="7" t="s">
        <v>53</v>
      </c>
    </row>
    <row r="2" spans="1:1" ht="14.4">
      <c r="A2" s="8" t="s">
        <v>54</v>
      </c>
    </row>
    <row r="3" spans="1:1">
      <c r="A3" s="6"/>
    </row>
    <row r="4" spans="1:1">
      <c r="A4" s="9" t="s">
        <v>55</v>
      </c>
    </row>
    <row r="5" spans="1:1" ht="27.6">
      <c r="A5" s="6" t="s">
        <v>56</v>
      </c>
    </row>
    <row r="6" spans="1:1">
      <c r="A6" s="6"/>
    </row>
    <row r="7" spans="1:1">
      <c r="A7" s="9" t="s">
        <v>57</v>
      </c>
    </row>
    <row r="8" spans="1:1">
      <c r="A8" s="6" t="s">
        <v>58</v>
      </c>
    </row>
    <row r="9" spans="1:1">
      <c r="A9" s="6" t="s">
        <v>59</v>
      </c>
    </row>
    <row r="10" spans="1:1">
      <c r="A10" s="6" t="s">
        <v>60</v>
      </c>
    </row>
    <row r="11" spans="1:1">
      <c r="A11" s="6" t="s">
        <v>61</v>
      </c>
    </row>
    <row r="12" spans="1:1">
      <c r="A12" s="6"/>
    </row>
    <row r="13" spans="1:1">
      <c r="A13" s="9" t="s">
        <v>62</v>
      </c>
    </row>
    <row r="14" spans="1:1" ht="27.6">
      <c r="A14" s="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Raw Data</vt:lpstr>
      <vt:lpstr>Data Dictionary</vt:lpstr>
      <vt:lpstr>Project Brief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2026-10-07T00:43:44Z</dcterms:modified>
</cp:coreProperties>
</file>